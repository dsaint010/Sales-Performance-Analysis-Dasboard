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hidePivotFieldList="1" defaultThemeVersion="166925"/>
  <mc:AlternateContent xmlns:mc="http://schemas.openxmlformats.org/markup-compatibility/2006">
    <mc:Choice Requires="x15">
      <x15ac:absPath xmlns:x15ac="http://schemas.microsoft.com/office/spreadsheetml/2010/11/ac" url="/Users/apple/Desktop/"/>
    </mc:Choice>
  </mc:AlternateContent>
  <xr:revisionPtr revIDLastSave="0" documentId="13_ncr:1_{9D24CD28-EB1F-3040-9A4B-AE83E46F2114}" xr6:coauthVersionLast="47" xr6:coauthVersionMax="47" xr10:uidLastSave="{00000000-0000-0000-0000-000000000000}"/>
  <bookViews>
    <workbookView xWindow="0" yWindow="0" windowWidth="28800" windowHeight="18000" activeTab="3" xr2:uid="{F8D93254-3A07-1346-BC3C-1C572D735329}"/>
  </bookViews>
  <sheets>
    <sheet name="Sales Analysis" sheetId="1" r:id="rId1"/>
    <sheet name="Pivot table" sheetId="2" r:id="rId2"/>
    <sheet name="Sales Charts" sheetId="7" r:id="rId3"/>
    <sheet name="Dashboard" sheetId="8" r:id="rId4"/>
  </sheets>
  <definedNames>
    <definedName name="Slicer_Product">#N/A</definedName>
    <definedName name="Slicer_Region">#N/A</definedName>
    <definedName name="Slicer_Salesperson">#N/A</definedName>
  </definedNames>
  <calcPr calcId="191029"/>
  <pivotCaches>
    <pivotCache cacheId="2"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5" i="8" l="1"/>
  <c r="B6" i="8"/>
  <c r="B4" i="8"/>
  <c r="G2" i="1"/>
  <c r="G3" i="1"/>
  <c r="G4" i="1"/>
  <c r="H4" i="1" s="1"/>
  <c r="G5" i="1"/>
  <c r="H5" i="1" s="1"/>
  <c r="G6" i="1"/>
  <c r="G7" i="1"/>
  <c r="G8" i="1"/>
  <c r="H8" i="1" s="1"/>
  <c r="G9" i="1"/>
  <c r="H9" i="1" s="1"/>
  <c r="G10" i="1"/>
  <c r="H10" i="1" s="1"/>
  <c r="G11" i="1"/>
  <c r="H11" i="1" s="1"/>
  <c r="G12" i="1"/>
  <c r="H12" i="1" s="1"/>
  <c r="G13" i="1"/>
  <c r="H13" i="1" s="1"/>
  <c r="G14" i="1"/>
  <c r="H14" i="1" s="1"/>
  <c r="G15" i="1"/>
  <c r="H15" i="1" s="1"/>
  <c r="G16" i="1"/>
  <c r="H16" i="1" s="1"/>
  <c r="G17" i="1"/>
  <c r="H17" i="1" s="1"/>
  <c r="G18" i="1"/>
  <c r="H18" i="1" s="1"/>
  <c r="G19" i="1"/>
  <c r="H19" i="1" s="1"/>
  <c r="G20" i="1"/>
  <c r="H20" i="1" s="1"/>
  <c r="G21" i="1"/>
  <c r="H21" i="1" s="1"/>
  <c r="G22" i="1"/>
  <c r="H22" i="1" s="1"/>
  <c r="B7" i="8"/>
  <c r="B3" i="8"/>
  <c r="H7" i="1" l="1"/>
  <c r="H6" i="1"/>
  <c r="H2" i="1"/>
  <c r="H3" i="1"/>
  <c r="C26" i="1" l="1"/>
  <c r="C29" i="1"/>
  <c r="C27" i="1"/>
  <c r="C28" i="1"/>
</calcChain>
</file>

<file path=xl/sharedStrings.xml><?xml version="1.0" encoding="utf-8"?>
<sst xmlns="http://schemas.openxmlformats.org/spreadsheetml/2006/main" count="169" uniqueCount="71">
  <si>
    <t>Date</t>
  </si>
  <si>
    <t>Product</t>
  </si>
  <si>
    <t>Region</t>
  </si>
  <si>
    <t>Salesperson</t>
  </si>
  <si>
    <t>Quantity</t>
  </si>
  <si>
    <t>Unit Price</t>
  </si>
  <si>
    <t>Total Sales</t>
  </si>
  <si>
    <t>Laptop</t>
  </si>
  <si>
    <t>Phone</t>
  </si>
  <si>
    <t>Headset</t>
  </si>
  <si>
    <t>Keyboard</t>
  </si>
  <si>
    <t>Monitor</t>
  </si>
  <si>
    <t xml:space="preserve">Lagos </t>
  </si>
  <si>
    <t>Abuja</t>
  </si>
  <si>
    <t>Ibadan</t>
  </si>
  <si>
    <t>Kano</t>
  </si>
  <si>
    <t>John</t>
  </si>
  <si>
    <t>Mary</t>
  </si>
  <si>
    <t>David</t>
  </si>
  <si>
    <t>Grace</t>
  </si>
  <si>
    <t>Peter</t>
  </si>
  <si>
    <t>13/7/26</t>
  </si>
  <si>
    <t>14/7/26</t>
  </si>
  <si>
    <t>15/7/26</t>
  </si>
  <si>
    <t>16/7/26</t>
  </si>
  <si>
    <t>17/7/26</t>
  </si>
  <si>
    <t>18/7/26</t>
  </si>
  <si>
    <t>19/7/26</t>
  </si>
  <si>
    <t>20/7/26</t>
  </si>
  <si>
    <t>21/7/26</t>
  </si>
  <si>
    <t>22/7/26</t>
  </si>
  <si>
    <t>23/7/26</t>
  </si>
  <si>
    <t>24/7/26</t>
  </si>
  <si>
    <t>25/7/26</t>
  </si>
  <si>
    <t>Cables</t>
  </si>
  <si>
    <t>Powerbank</t>
  </si>
  <si>
    <t>Portharcourt</t>
  </si>
  <si>
    <t>Ondo</t>
  </si>
  <si>
    <t>Victor</t>
  </si>
  <si>
    <t>Michael</t>
  </si>
  <si>
    <t>Joy</t>
  </si>
  <si>
    <t>Joseph</t>
  </si>
  <si>
    <t>Daniel</t>
  </si>
  <si>
    <t>Grand Total</t>
  </si>
  <si>
    <t>Sum of Total Sales</t>
  </si>
  <si>
    <t>Products</t>
  </si>
  <si>
    <t>Sum of Quantity</t>
  </si>
  <si>
    <t>Count of Product</t>
  </si>
  <si>
    <t>Average of Total Sales</t>
  </si>
  <si>
    <t xml:space="preserve">Sales Analysis Summary </t>
  </si>
  <si>
    <t>2. Product with the highest revenue: Laptop {4,650,000}</t>
  </si>
  <si>
    <t>1. Region with the highest total sales: Portharcourt {4,1000,0000}</t>
  </si>
  <si>
    <t>3. Best performing sales person: Michael {3,460,000}</t>
  </si>
  <si>
    <t>4. Highest quantity of products sold: Victor {20}</t>
  </si>
  <si>
    <t>5. Region with the highest number of transactions: Lagos {6}</t>
  </si>
  <si>
    <t>6. Region with the highest average sales per transaction: Portharcourt {1,366,667}</t>
  </si>
  <si>
    <t>Performance</t>
  </si>
  <si>
    <t>High Sales Transactions</t>
  </si>
  <si>
    <t>Low Sales Transactions</t>
  </si>
  <si>
    <t>Total High Sales Revenue</t>
  </si>
  <si>
    <t>Average High Sales Revenue</t>
  </si>
  <si>
    <t>Top Product</t>
  </si>
  <si>
    <t>Top Region</t>
  </si>
  <si>
    <t>Top Salesperson</t>
  </si>
  <si>
    <t>Average Sales</t>
  </si>
  <si>
    <t>KEY BUSINESS INSIGHTS:</t>
  </si>
  <si>
    <r>
      <rPr>
        <b/>
        <sz val="12"/>
        <color theme="1"/>
        <rFont val="Calibri"/>
        <family val="2"/>
        <scheme val="minor"/>
      </rPr>
      <t xml:space="preserve">Insight 1: </t>
    </r>
    <r>
      <rPr>
        <sz val="12"/>
        <color theme="1"/>
        <rFont val="Calibri"/>
        <family val="2"/>
        <scheme val="minor"/>
      </rPr>
      <t>Laptop generated the highest total sales.</t>
    </r>
  </si>
  <si>
    <r>
      <rPr>
        <b/>
        <sz val="12"/>
        <color theme="1"/>
        <rFont val="Calibri"/>
        <family val="2"/>
        <scheme val="minor"/>
      </rPr>
      <t xml:space="preserve">Insight 2:  </t>
    </r>
    <r>
      <rPr>
        <sz val="12"/>
        <color theme="1"/>
        <rFont val="Calibri"/>
        <family val="2"/>
        <scheme val="minor"/>
      </rPr>
      <t xml:space="preserve">Portharcourt recorded the highest regional sales. </t>
    </r>
  </si>
  <si>
    <r>
      <rPr>
        <b/>
        <sz val="12"/>
        <color theme="1"/>
        <rFont val="Calibri"/>
        <family val="2"/>
        <scheme val="minor"/>
      </rPr>
      <t xml:space="preserve">Insight 3:  </t>
    </r>
    <r>
      <rPr>
        <sz val="12"/>
        <color theme="1"/>
        <rFont val="Calibri"/>
        <family val="2"/>
        <scheme val="minor"/>
      </rPr>
      <t>Michael was top performing salesperson by total sales.</t>
    </r>
  </si>
  <si>
    <r>
      <rPr>
        <b/>
        <sz val="12"/>
        <color theme="1"/>
        <rFont val="Calibri"/>
        <family val="2"/>
        <scheme val="minor"/>
      </rPr>
      <t xml:space="preserve">Insight 4:  </t>
    </r>
    <r>
      <rPr>
        <sz val="12"/>
        <color theme="1"/>
        <rFont val="Calibri"/>
        <family val="2"/>
        <scheme val="minor"/>
      </rPr>
      <t>Lagos recorded the highest number of transaction.</t>
    </r>
  </si>
  <si>
    <r>
      <rPr>
        <b/>
        <sz val="12"/>
        <color theme="1"/>
        <rFont val="Calibri"/>
        <family val="2"/>
        <scheme val="minor"/>
      </rPr>
      <t xml:space="preserve">Insight 5:  </t>
    </r>
    <r>
      <rPr>
        <sz val="12"/>
        <color theme="1"/>
        <rFont val="Calibri"/>
        <family val="2"/>
        <scheme val="minor"/>
      </rPr>
      <t>Laptop and Portharcourt were major contributors to overall revenue.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</si>
</sst>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NGN]\ * #,##0.00_);_([$NGN]\ * \(#,##0.00\);_([$NGN]\ * &quot;-&quot;??_);_(@_)"/>
    <numFmt numFmtId="166" formatCode="[$NGN]\ #,##0.00"/>
  </numFmts>
  <fonts count="12" x14ac:knownFonts="1">
    <font>
      <sz val="12"/>
      <color theme="1"/>
      <name val="Calibri"/>
      <family val="2"/>
      <scheme val="minor"/>
    </font>
    <font>
      <b/>
      <sz val="12"/>
      <color theme="1"/>
      <name val="Calibri"/>
      <family val="2"/>
      <scheme val="minor"/>
    </font>
    <font>
      <b/>
      <sz val="16"/>
      <color theme="1"/>
      <name val="Calibri (Body)"/>
    </font>
    <font>
      <sz val="12"/>
      <color theme="9" tint="-0.499984740745262"/>
      <name val="Calibri"/>
      <family val="2"/>
      <scheme val="minor"/>
    </font>
    <font>
      <sz val="12"/>
      <color theme="1"/>
      <name val="Arial Rounded MT Bold"/>
      <family val="2"/>
    </font>
    <font>
      <b/>
      <sz val="26"/>
      <color theme="1"/>
      <name val="Arial Rounded MT Bold"/>
      <family val="2"/>
    </font>
    <font>
      <b/>
      <sz val="16"/>
      <color theme="1"/>
      <name val="Calibri"/>
      <family val="2"/>
      <scheme val="minor"/>
    </font>
    <font>
      <sz val="12"/>
      <color theme="0"/>
      <name val="Calibri (Body)"/>
    </font>
    <font>
      <sz val="14"/>
      <color theme="1"/>
      <name val="Calibri"/>
      <family val="2"/>
      <scheme val="minor"/>
    </font>
    <font>
      <b/>
      <sz val="14"/>
      <color theme="1"/>
      <name val="Calibri"/>
      <family val="2"/>
      <scheme val="minor"/>
    </font>
    <font>
      <b/>
      <sz val="14"/>
      <name val="Calibri"/>
      <family val="2"/>
      <scheme val="minor"/>
    </font>
    <font>
      <sz val="14"/>
      <name val="Calibri"/>
      <family val="2"/>
      <scheme val="minor"/>
    </font>
  </fonts>
  <fills count="3">
    <fill>
      <patternFill patternType="none"/>
    </fill>
    <fill>
      <patternFill patternType="gray125"/>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9" tint="-0.249977111117893"/>
      </left>
      <right style="thin">
        <color theme="9" tint="-0.249977111117893"/>
      </right>
      <top style="thin">
        <color theme="9" tint="-0.249977111117893"/>
      </top>
      <bottom style="thin">
        <color theme="9" tint="-0.249977111117893"/>
      </bottom>
      <diagonal/>
    </border>
  </borders>
  <cellStyleXfs count="1">
    <xf numFmtId="0" fontId="0" fillId="0" borderId="0"/>
  </cellStyleXfs>
  <cellXfs count="38">
    <xf numFmtId="0" fontId="0" fillId="0" borderId="0" xfId="0"/>
    <xf numFmtId="0" fontId="1" fillId="0" borderId="0" xfId="0" applyFont="1"/>
    <xf numFmtId="0" fontId="1" fillId="0" borderId="0" xfId="0" applyFont="1" applyAlignment="1">
      <alignment horizontal="center"/>
    </xf>
    <xf numFmtId="14" fontId="0" fillId="0" borderId="0" xfId="0" applyNumberFormat="1"/>
    <xf numFmtId="14" fontId="0" fillId="0" borderId="0" xfId="0" applyNumberFormat="1" applyAlignment="1">
      <alignment horizontal="right"/>
    </xf>
    <xf numFmtId="164" fontId="1" fillId="0" borderId="0" xfId="0" applyNumberFormat="1" applyFont="1" applyAlignment="1">
      <alignment horizontal="center"/>
    </xf>
    <xf numFmtId="164" fontId="0" fillId="0" borderId="0" xfId="0" applyNumberFormat="1"/>
    <xf numFmtId="165" fontId="1" fillId="0" borderId="0" xfId="0" applyNumberFormat="1" applyFont="1" applyAlignment="1">
      <alignment horizontal="center"/>
    </xf>
    <xf numFmtId="165" fontId="0" fillId="0" borderId="0" xfId="0" applyNumberFormat="1"/>
    <xf numFmtId="14" fontId="1" fillId="0" borderId="0" xfId="0" applyNumberFormat="1" applyFont="1" applyAlignment="1">
      <alignment horizontal="center"/>
    </xf>
    <xf numFmtId="0" fontId="0" fillId="0" borderId="0" xfId="0" applyAlignment="1">
      <alignment horizontal="left"/>
    </xf>
    <xf numFmtId="0" fontId="1" fillId="0" borderId="0" xfId="0" pivotButton="1" applyFont="1"/>
    <xf numFmtId="0" fontId="2" fillId="0" borderId="0" xfId="0" applyFont="1"/>
    <xf numFmtId="14" fontId="1" fillId="0" borderId="0" xfId="0" applyNumberFormat="1" applyFont="1"/>
    <xf numFmtId="166" fontId="0" fillId="0" borderId="0" xfId="0" applyNumberFormat="1"/>
    <xf numFmtId="14" fontId="1" fillId="0" borderId="1" xfId="0" applyNumberFormat="1" applyFont="1" applyBorder="1"/>
    <xf numFmtId="0" fontId="1" fillId="0" borderId="1" xfId="0" applyFont="1" applyBorder="1"/>
    <xf numFmtId="0" fontId="0" fillId="0" borderId="1" xfId="0" applyBorder="1"/>
    <xf numFmtId="166" fontId="0" fillId="0" borderId="1" xfId="0" applyNumberFormat="1" applyBorder="1"/>
    <xf numFmtId="14" fontId="1" fillId="2" borderId="1" xfId="0" applyNumberFormat="1" applyFont="1" applyFill="1" applyBorder="1"/>
    <xf numFmtId="0" fontId="1" fillId="2" borderId="1" xfId="0" applyFont="1" applyFill="1" applyBorder="1"/>
    <xf numFmtId="0" fontId="0" fillId="2" borderId="1" xfId="0" applyFill="1" applyBorder="1"/>
    <xf numFmtId="0" fontId="3" fillId="2" borderId="0" xfId="0" applyFont="1" applyFill="1"/>
    <xf numFmtId="0" fontId="4" fillId="2" borderId="0" xfId="0" applyFont="1" applyFill="1"/>
    <xf numFmtId="0" fontId="5" fillId="2" borderId="0" xfId="0" applyFont="1" applyFill="1"/>
    <xf numFmtId="0" fontId="0" fillId="2" borderId="0" xfId="0" applyFont="1" applyFill="1"/>
    <xf numFmtId="0" fontId="0" fillId="2" borderId="0" xfId="0" applyFont="1" applyFill="1" applyAlignment="1">
      <alignment horizontal="center"/>
    </xf>
    <xf numFmtId="0" fontId="0" fillId="2" borderId="0" xfId="0" applyFont="1" applyFill="1" applyBorder="1"/>
    <xf numFmtId="0" fontId="6" fillId="2" borderId="0" xfId="0" applyFont="1" applyFill="1" applyBorder="1"/>
    <xf numFmtId="0" fontId="7" fillId="2" borderId="0" xfId="0" applyFont="1" applyFill="1" applyBorder="1"/>
    <xf numFmtId="0" fontId="0" fillId="0" borderId="0" xfId="0" applyNumberFormat="1"/>
    <xf numFmtId="0" fontId="8" fillId="2" borderId="2" xfId="0" applyFont="1" applyFill="1" applyBorder="1"/>
    <xf numFmtId="0" fontId="9" fillId="2" borderId="2" xfId="0" applyFont="1" applyFill="1" applyBorder="1"/>
    <xf numFmtId="0" fontId="10" fillId="2" borderId="2" xfId="0" applyFont="1" applyFill="1" applyBorder="1"/>
    <xf numFmtId="165" fontId="8" fillId="2" borderId="2" xfId="0" applyNumberFormat="1" applyFont="1" applyFill="1" applyBorder="1"/>
    <xf numFmtId="0" fontId="11" fillId="2" borderId="2" xfId="0" applyFont="1" applyFill="1" applyBorder="1" applyAlignment="1">
      <alignment horizontal="right"/>
    </xf>
    <xf numFmtId="0" fontId="8" fillId="2" borderId="2" xfId="0" applyFont="1" applyFill="1" applyBorder="1" applyAlignment="1">
      <alignment horizontal="right"/>
    </xf>
    <xf numFmtId="0" fontId="1" fillId="2" borderId="0" xfId="0" applyFont="1" applyFill="1"/>
  </cellXfs>
  <cellStyles count="1">
    <cellStyle name="Normal" xfId="0" builtinId="0"/>
  </cellStyles>
  <dxfs count="237">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9" tint="-0.24994659260841701"/>
        </patternFill>
      </fill>
    </dxf>
    <dxf>
      <font>
        <b/>
      </font>
    </dxf>
    <dxf>
      <font>
        <b/>
      </font>
    </dxf>
    <dxf>
      <font>
        <b/>
      </font>
    </dxf>
    <dxf>
      <font>
        <b/>
      </font>
    </dxf>
    <dxf>
      <font>
        <b/>
      </font>
    </dxf>
    <dxf>
      <font>
        <b/>
      </font>
    </dxf>
    <dxf>
      <font>
        <b/>
      </font>
    </dxf>
    <dxf>
      <font>
        <b/>
      </font>
    </dxf>
    <dxf>
      <font>
        <b/>
      </font>
    </dxf>
    <dxf>
      <font>
        <b/>
      </font>
    </dxf>
    <dxf>
      <font>
        <b/>
      </font>
    </dxf>
    <dxf>
      <font>
        <b/>
      </font>
    </dxf>
    <dxf>
      <font>
        <b val="0"/>
        <i val="0"/>
        <strike val="0"/>
        <condense val="0"/>
        <extend val="0"/>
        <outline val="0"/>
        <shadow val="0"/>
        <u val="none"/>
        <vertAlign val="baseline"/>
        <sz val="12"/>
        <color theme="1"/>
        <name val="Calibri"/>
        <family val="2"/>
        <scheme val="minor"/>
      </font>
      <numFmt numFmtId="0" formatCode="General"/>
    </dxf>
    <dxf>
      <numFmt numFmtId="165" formatCode="_([$NGN]\ * #,##0.00_);_([$NGN]\ * \(#,##0.00\);_([$NGN]\ * &quot;-&quot;??_);_(@_)"/>
    </dxf>
    <dxf>
      <numFmt numFmtId="165" formatCode="_([$NGN]\ * #,##0.00_);_([$NGN]\ * \(#,##0.00\);_([$NGN]\ * &quot;-&quot;??_);_(@_)"/>
    </dxf>
    <dxf>
      <numFmt numFmtId="0" formatCode="General"/>
    </dxf>
    <dxf>
      <numFmt numFmtId="19" formatCode="m/d/yy"/>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Region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table'!$A$2:$A$8</c:f>
              <c:strCache>
                <c:ptCount val="6"/>
                <c:pt idx="0">
                  <c:v>Portharcourt</c:v>
                </c:pt>
                <c:pt idx="1">
                  <c:v>Lagos </c:v>
                </c:pt>
                <c:pt idx="2">
                  <c:v>Ondo</c:v>
                </c:pt>
                <c:pt idx="3">
                  <c:v>Abuja</c:v>
                </c:pt>
                <c:pt idx="4">
                  <c:v>Kano</c:v>
                </c:pt>
                <c:pt idx="5">
                  <c:v>Ibadan</c:v>
                </c:pt>
              </c:strCache>
            </c:strRef>
          </c:cat>
          <c:val>
            <c:numRef>
              <c:f>'Pivot table'!$B$2:$B$8</c:f>
              <c:numCache>
                <c:formatCode>General</c:formatCode>
                <c:ptCount val="6"/>
                <c:pt idx="0">
                  <c:v>4100000</c:v>
                </c:pt>
                <c:pt idx="1">
                  <c:v>2050000</c:v>
                </c:pt>
                <c:pt idx="2">
                  <c:v>1800000</c:v>
                </c:pt>
                <c:pt idx="3">
                  <c:v>1600000</c:v>
                </c:pt>
                <c:pt idx="4">
                  <c:v>1410000</c:v>
                </c:pt>
                <c:pt idx="5">
                  <c:v>400000</c:v>
                </c:pt>
              </c:numCache>
            </c:numRef>
          </c:val>
          <c:extLst>
            <c:ext xmlns:c16="http://schemas.microsoft.com/office/drawing/2014/chart" uri="{C3380CC4-5D6E-409C-BE32-E72D297353CC}">
              <c16:uniqueId val="{00000000-3883-374B-B4C5-20FF24E78E78}"/>
            </c:ext>
          </c:extLst>
        </c:ser>
        <c:dLbls>
          <c:showLegendKey val="0"/>
          <c:showVal val="0"/>
          <c:showCatName val="0"/>
          <c:showSerName val="0"/>
          <c:showPercent val="0"/>
          <c:showBubbleSize val="0"/>
        </c:dLbls>
        <c:gapWidth val="100"/>
        <c:overlap val="-24"/>
        <c:axId val="270187551"/>
        <c:axId val="301021247"/>
      </c:barChart>
      <c:catAx>
        <c:axId val="2701875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1021247"/>
        <c:crosses val="autoZero"/>
        <c:auto val="1"/>
        <c:lblAlgn val="ctr"/>
        <c:lblOffset val="100"/>
        <c:noMultiLvlLbl val="0"/>
      </c:catAx>
      <c:valAx>
        <c:axId val="30102124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0187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table'!$D$2:$D$9</c:f>
              <c:strCache>
                <c:ptCount val="7"/>
                <c:pt idx="0">
                  <c:v>Laptop</c:v>
                </c:pt>
                <c:pt idx="1">
                  <c:v>Phone</c:v>
                </c:pt>
                <c:pt idx="2">
                  <c:v>Powerbank</c:v>
                </c:pt>
                <c:pt idx="3">
                  <c:v>Headset</c:v>
                </c:pt>
                <c:pt idx="4">
                  <c:v>Cables</c:v>
                </c:pt>
                <c:pt idx="5">
                  <c:v>Monitor</c:v>
                </c:pt>
                <c:pt idx="6">
                  <c:v>Keyboard</c:v>
                </c:pt>
              </c:strCache>
            </c:strRef>
          </c:cat>
          <c:val>
            <c:numRef>
              <c:f>'Pivot table'!$E$2:$E$9</c:f>
              <c:numCache>
                <c:formatCode>General</c:formatCode>
                <c:ptCount val="7"/>
                <c:pt idx="0">
                  <c:v>4650000</c:v>
                </c:pt>
                <c:pt idx="1">
                  <c:v>3000000</c:v>
                </c:pt>
                <c:pt idx="2">
                  <c:v>1050000</c:v>
                </c:pt>
                <c:pt idx="3">
                  <c:v>960000</c:v>
                </c:pt>
                <c:pt idx="4">
                  <c:v>800000</c:v>
                </c:pt>
                <c:pt idx="5">
                  <c:v>520000</c:v>
                </c:pt>
                <c:pt idx="6">
                  <c:v>380000</c:v>
                </c:pt>
              </c:numCache>
            </c:numRef>
          </c:val>
          <c:extLst>
            <c:ext xmlns:c16="http://schemas.microsoft.com/office/drawing/2014/chart" uri="{C3380CC4-5D6E-409C-BE32-E72D297353CC}">
              <c16:uniqueId val="{00000000-2D88-C54C-A94E-A0872512629F}"/>
            </c:ext>
          </c:extLst>
        </c:ser>
        <c:dLbls>
          <c:showLegendKey val="0"/>
          <c:showVal val="0"/>
          <c:showCatName val="0"/>
          <c:showSerName val="0"/>
          <c:showPercent val="0"/>
          <c:showBubbleSize val="0"/>
        </c:dLbls>
        <c:gapWidth val="115"/>
        <c:overlap val="-20"/>
        <c:axId val="694200527"/>
        <c:axId val="293759903"/>
      </c:barChart>
      <c:catAx>
        <c:axId val="69420052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3759903"/>
        <c:crosses val="autoZero"/>
        <c:auto val="1"/>
        <c:lblAlgn val="ctr"/>
        <c:lblOffset val="100"/>
        <c:noMultiLvlLbl val="0"/>
      </c:catAx>
      <c:valAx>
        <c:axId val="293759903"/>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4200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a Salesperson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table'!$G$2:$G$12</c:f>
              <c:strCache>
                <c:ptCount val="10"/>
                <c:pt idx="0">
                  <c:v>Michael</c:v>
                </c:pt>
                <c:pt idx="1">
                  <c:v>Peter</c:v>
                </c:pt>
                <c:pt idx="2">
                  <c:v>Joy</c:v>
                </c:pt>
                <c:pt idx="3">
                  <c:v>Mary</c:v>
                </c:pt>
                <c:pt idx="4">
                  <c:v>John</c:v>
                </c:pt>
                <c:pt idx="5">
                  <c:v>Daniel</c:v>
                </c:pt>
                <c:pt idx="6">
                  <c:v>David</c:v>
                </c:pt>
                <c:pt idx="7">
                  <c:v>Victor</c:v>
                </c:pt>
                <c:pt idx="8">
                  <c:v>Joseph</c:v>
                </c:pt>
                <c:pt idx="9">
                  <c:v>Grace</c:v>
                </c:pt>
              </c:strCache>
            </c:strRef>
          </c:cat>
          <c:val>
            <c:numRef>
              <c:f>'Pivot table'!$H$2:$H$12</c:f>
              <c:numCache>
                <c:formatCode>General</c:formatCode>
                <c:ptCount val="10"/>
                <c:pt idx="0">
                  <c:v>3460000</c:v>
                </c:pt>
                <c:pt idx="1">
                  <c:v>1735000</c:v>
                </c:pt>
                <c:pt idx="2">
                  <c:v>1300000</c:v>
                </c:pt>
                <c:pt idx="3">
                  <c:v>1250000</c:v>
                </c:pt>
                <c:pt idx="4">
                  <c:v>900000</c:v>
                </c:pt>
                <c:pt idx="5">
                  <c:v>800000</c:v>
                </c:pt>
                <c:pt idx="6">
                  <c:v>625000</c:v>
                </c:pt>
                <c:pt idx="7">
                  <c:v>600000</c:v>
                </c:pt>
                <c:pt idx="8">
                  <c:v>350000</c:v>
                </c:pt>
                <c:pt idx="9">
                  <c:v>340000</c:v>
                </c:pt>
              </c:numCache>
            </c:numRef>
          </c:val>
          <c:extLst>
            <c:ext xmlns:c16="http://schemas.microsoft.com/office/drawing/2014/chart" uri="{C3380CC4-5D6E-409C-BE32-E72D297353CC}">
              <c16:uniqueId val="{00000000-66FB-1846-93B8-868DA46A592B}"/>
            </c:ext>
          </c:extLst>
        </c:ser>
        <c:dLbls>
          <c:showLegendKey val="0"/>
          <c:showVal val="0"/>
          <c:showCatName val="0"/>
          <c:showSerName val="0"/>
          <c:showPercent val="0"/>
          <c:showBubbleSize val="0"/>
        </c:dLbls>
        <c:gapWidth val="100"/>
        <c:overlap val="-24"/>
        <c:axId val="324153311"/>
        <c:axId val="324984703"/>
      </c:barChart>
      <c:catAx>
        <c:axId val="3241533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984703"/>
        <c:crosses val="autoZero"/>
        <c:auto val="1"/>
        <c:lblAlgn val="ctr"/>
        <c:lblOffset val="100"/>
        <c:noMultiLvlLbl val="0"/>
      </c:catAx>
      <c:valAx>
        <c:axId val="32498470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15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 Sold by</a:t>
            </a:r>
            <a:r>
              <a:rPr lang="en-US" baseline="0"/>
              <a:t> Sales person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table'!$A$16:$A$26</c:f>
              <c:strCache>
                <c:ptCount val="10"/>
                <c:pt idx="0">
                  <c:v>Victor</c:v>
                </c:pt>
                <c:pt idx="1">
                  <c:v>Michael</c:v>
                </c:pt>
                <c:pt idx="2">
                  <c:v>John</c:v>
                </c:pt>
                <c:pt idx="3">
                  <c:v>David</c:v>
                </c:pt>
                <c:pt idx="4">
                  <c:v>Peter</c:v>
                </c:pt>
                <c:pt idx="5">
                  <c:v>Joseph</c:v>
                </c:pt>
                <c:pt idx="6">
                  <c:v>Mary</c:v>
                </c:pt>
                <c:pt idx="7">
                  <c:v>Grace</c:v>
                </c:pt>
                <c:pt idx="8">
                  <c:v>Joy</c:v>
                </c:pt>
                <c:pt idx="9">
                  <c:v>Daniel</c:v>
                </c:pt>
              </c:strCache>
            </c:strRef>
          </c:cat>
          <c:val>
            <c:numRef>
              <c:f>'Pivot table'!$B$16:$B$26</c:f>
              <c:numCache>
                <c:formatCode>General</c:formatCode>
                <c:ptCount val="10"/>
                <c:pt idx="0">
                  <c:v>20</c:v>
                </c:pt>
                <c:pt idx="1">
                  <c:v>18</c:v>
                </c:pt>
                <c:pt idx="2">
                  <c:v>17</c:v>
                </c:pt>
                <c:pt idx="3">
                  <c:v>15</c:v>
                </c:pt>
                <c:pt idx="4">
                  <c:v>13</c:v>
                </c:pt>
                <c:pt idx="5">
                  <c:v>10</c:v>
                </c:pt>
                <c:pt idx="6">
                  <c:v>10</c:v>
                </c:pt>
                <c:pt idx="7">
                  <c:v>6</c:v>
                </c:pt>
                <c:pt idx="8">
                  <c:v>4</c:v>
                </c:pt>
                <c:pt idx="9">
                  <c:v>2</c:v>
                </c:pt>
              </c:numCache>
            </c:numRef>
          </c:val>
          <c:extLst>
            <c:ext xmlns:c16="http://schemas.microsoft.com/office/drawing/2014/chart" uri="{C3380CC4-5D6E-409C-BE32-E72D297353CC}">
              <c16:uniqueId val="{00000000-3702-8B49-AEDD-57B033922D06}"/>
            </c:ext>
          </c:extLst>
        </c:ser>
        <c:dLbls>
          <c:showLegendKey val="0"/>
          <c:showVal val="0"/>
          <c:showCatName val="0"/>
          <c:showSerName val="0"/>
          <c:showPercent val="0"/>
          <c:showBubbleSize val="0"/>
        </c:dLbls>
        <c:gapWidth val="115"/>
        <c:overlap val="-20"/>
        <c:axId val="653548143"/>
        <c:axId val="270252799"/>
      </c:barChart>
      <c:catAx>
        <c:axId val="65354814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0252799"/>
        <c:crosses val="autoZero"/>
        <c:auto val="1"/>
        <c:lblAlgn val="ctr"/>
        <c:lblOffset val="100"/>
        <c:noMultiLvlLbl val="0"/>
      </c:catAx>
      <c:valAx>
        <c:axId val="270252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3548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t>Count of Products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table'!$E$15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table'!$D$16:$D$22</c:f>
              <c:strCache>
                <c:ptCount val="6"/>
                <c:pt idx="0">
                  <c:v>Lagos </c:v>
                </c:pt>
                <c:pt idx="1">
                  <c:v>Abuja</c:v>
                </c:pt>
                <c:pt idx="2">
                  <c:v>Kano</c:v>
                </c:pt>
                <c:pt idx="3">
                  <c:v>Portharcourt</c:v>
                </c:pt>
                <c:pt idx="4">
                  <c:v>Ondo</c:v>
                </c:pt>
                <c:pt idx="5">
                  <c:v>Ibadan</c:v>
                </c:pt>
              </c:strCache>
            </c:strRef>
          </c:cat>
          <c:val>
            <c:numRef>
              <c:f>'Pivot table'!$E$16:$E$22</c:f>
              <c:numCache>
                <c:formatCode>General</c:formatCode>
                <c:ptCount val="6"/>
                <c:pt idx="0">
                  <c:v>6</c:v>
                </c:pt>
                <c:pt idx="1">
                  <c:v>4</c:v>
                </c:pt>
                <c:pt idx="2">
                  <c:v>4</c:v>
                </c:pt>
                <c:pt idx="3">
                  <c:v>3</c:v>
                </c:pt>
                <c:pt idx="4">
                  <c:v>2</c:v>
                </c:pt>
                <c:pt idx="5">
                  <c:v>2</c:v>
                </c:pt>
              </c:numCache>
            </c:numRef>
          </c:val>
          <c:extLst>
            <c:ext xmlns:c16="http://schemas.microsoft.com/office/drawing/2014/chart" uri="{C3380CC4-5D6E-409C-BE32-E72D297353CC}">
              <c16:uniqueId val="{00000000-AC4C-CB4A-ADD5-295DC5BE243E}"/>
            </c:ext>
          </c:extLst>
        </c:ser>
        <c:dLbls>
          <c:showLegendKey val="0"/>
          <c:showVal val="0"/>
          <c:showCatName val="0"/>
          <c:showSerName val="0"/>
          <c:showPercent val="0"/>
          <c:showBubbleSize val="0"/>
        </c:dLbls>
        <c:gapWidth val="150"/>
        <c:overlap val="100"/>
        <c:axId val="330027519"/>
        <c:axId val="329649983"/>
      </c:barChart>
      <c:catAx>
        <c:axId val="3300275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9649983"/>
        <c:crosses val="autoZero"/>
        <c:auto val="1"/>
        <c:lblAlgn val="ctr"/>
        <c:lblOffset val="100"/>
        <c:noMultiLvlLbl val="0"/>
      </c:catAx>
      <c:valAx>
        <c:axId val="32964998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0027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Sales</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table'!$G$16:$G$22</c:f>
              <c:strCache>
                <c:ptCount val="6"/>
                <c:pt idx="0">
                  <c:v>Portharcourt</c:v>
                </c:pt>
                <c:pt idx="1">
                  <c:v>Ondo</c:v>
                </c:pt>
                <c:pt idx="2">
                  <c:v>Abuja</c:v>
                </c:pt>
                <c:pt idx="3">
                  <c:v>Kano</c:v>
                </c:pt>
                <c:pt idx="4">
                  <c:v>Lagos </c:v>
                </c:pt>
                <c:pt idx="5">
                  <c:v>Ibadan</c:v>
                </c:pt>
              </c:strCache>
            </c:strRef>
          </c:cat>
          <c:val>
            <c:numRef>
              <c:f>'Pivot table'!$H$16:$H$22</c:f>
              <c:numCache>
                <c:formatCode>General</c:formatCode>
                <c:ptCount val="6"/>
                <c:pt idx="0">
                  <c:v>1366666.6666666667</c:v>
                </c:pt>
                <c:pt idx="1">
                  <c:v>900000</c:v>
                </c:pt>
                <c:pt idx="2">
                  <c:v>400000</c:v>
                </c:pt>
                <c:pt idx="3">
                  <c:v>352500</c:v>
                </c:pt>
                <c:pt idx="4">
                  <c:v>341666.66666666669</c:v>
                </c:pt>
                <c:pt idx="5">
                  <c:v>200000</c:v>
                </c:pt>
              </c:numCache>
            </c:numRef>
          </c:val>
          <c:extLst>
            <c:ext xmlns:c16="http://schemas.microsoft.com/office/drawing/2014/chart" uri="{C3380CC4-5D6E-409C-BE32-E72D297353CC}">
              <c16:uniqueId val="{00000000-D8C8-5440-8E0E-F62FF6CF6DDC}"/>
            </c:ext>
          </c:extLst>
        </c:ser>
        <c:dLbls>
          <c:showLegendKey val="0"/>
          <c:showVal val="0"/>
          <c:showCatName val="0"/>
          <c:showSerName val="0"/>
          <c:showPercent val="0"/>
          <c:showBubbleSize val="0"/>
        </c:dLbls>
        <c:gapWidth val="100"/>
        <c:overlap val="-24"/>
        <c:axId val="621127855"/>
        <c:axId val="276683407"/>
      </c:barChart>
      <c:catAx>
        <c:axId val="621127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6683407"/>
        <c:crosses val="autoZero"/>
        <c:auto val="1"/>
        <c:lblAlgn val="ctr"/>
        <c:lblOffset val="100"/>
        <c:noMultiLvlLbl val="0"/>
      </c:catAx>
      <c:valAx>
        <c:axId val="27668340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1127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table!PivotTable2</c:name>
    <c:fmtId val="10"/>
  </c:pivotSource>
  <c:chart>
    <c:title>
      <c:tx>
        <c:rich>
          <a:bodyPr rot="0" spcFirstLastPara="1" vertOverflow="ellipsis" vert="horz" wrap="square" anchor="ctr" anchorCtr="1"/>
          <a:lstStyle/>
          <a:p>
            <a:pPr>
              <a:defRPr sz="1600" b="1" i="0" u="none" strike="noStrike" kern="1200" spc="100" baseline="0">
                <a:ln>
                  <a:noFill/>
                </a:ln>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ln>
                  <a:noFill/>
                </a:ln>
                <a:solidFill>
                  <a:sysClr val="windowText" lastClr="000000"/>
                </a:solidFill>
              </a:rPr>
              <a:t>Total Sales by Region </a:t>
            </a:r>
          </a:p>
        </c:rich>
      </c:tx>
      <c:overlay val="0"/>
      <c:spPr>
        <a:noFill/>
        <a:ln>
          <a:noFill/>
        </a:ln>
        <a:effectLst/>
      </c:spPr>
      <c:txPr>
        <a:bodyPr rot="0" spcFirstLastPara="1" vertOverflow="ellipsis" vert="horz" wrap="square" anchor="ctr" anchorCtr="1"/>
        <a:lstStyle/>
        <a:p>
          <a:pPr>
            <a:defRPr sz="1600" b="1" i="0" u="none" strike="noStrike" kern="1200" spc="100" baseline="0">
              <a:ln>
                <a:noFill/>
              </a:ln>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table'!$A$2:$A$8</c:f>
              <c:strCache>
                <c:ptCount val="6"/>
                <c:pt idx="0">
                  <c:v>Portharcourt</c:v>
                </c:pt>
                <c:pt idx="1">
                  <c:v>Lagos </c:v>
                </c:pt>
                <c:pt idx="2">
                  <c:v>Ondo</c:v>
                </c:pt>
                <c:pt idx="3">
                  <c:v>Abuja</c:v>
                </c:pt>
                <c:pt idx="4">
                  <c:v>Kano</c:v>
                </c:pt>
                <c:pt idx="5">
                  <c:v>Ibadan</c:v>
                </c:pt>
              </c:strCache>
            </c:strRef>
          </c:cat>
          <c:val>
            <c:numRef>
              <c:f>'Pivot table'!$B$2:$B$8</c:f>
              <c:numCache>
                <c:formatCode>General</c:formatCode>
                <c:ptCount val="6"/>
                <c:pt idx="0">
                  <c:v>4100000</c:v>
                </c:pt>
                <c:pt idx="1">
                  <c:v>2050000</c:v>
                </c:pt>
                <c:pt idx="2">
                  <c:v>1800000</c:v>
                </c:pt>
                <c:pt idx="3">
                  <c:v>1600000</c:v>
                </c:pt>
                <c:pt idx="4">
                  <c:v>1410000</c:v>
                </c:pt>
                <c:pt idx="5">
                  <c:v>400000</c:v>
                </c:pt>
              </c:numCache>
            </c:numRef>
          </c:val>
          <c:extLst>
            <c:ext xmlns:c16="http://schemas.microsoft.com/office/drawing/2014/chart" uri="{C3380CC4-5D6E-409C-BE32-E72D297353CC}">
              <c16:uniqueId val="{00000000-5356-8743-8D26-4467D6D07689}"/>
            </c:ext>
          </c:extLst>
        </c:ser>
        <c:dLbls>
          <c:showLegendKey val="0"/>
          <c:showVal val="0"/>
          <c:showCatName val="0"/>
          <c:showSerName val="0"/>
          <c:showPercent val="0"/>
          <c:showBubbleSize val="0"/>
        </c:dLbls>
        <c:gapWidth val="100"/>
        <c:overlap val="-24"/>
        <c:axId val="270187551"/>
        <c:axId val="301021247"/>
      </c:barChart>
      <c:catAx>
        <c:axId val="2701875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01021247"/>
        <c:crosses val="autoZero"/>
        <c:auto val="1"/>
        <c:lblAlgn val="ctr"/>
        <c:lblOffset val="100"/>
        <c:noMultiLvlLbl val="0"/>
      </c:catAx>
      <c:valAx>
        <c:axId val="30102124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0187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table!PivotTable3</c:name>
    <c:fmtId val="8"/>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b="1">
                <a:solidFill>
                  <a:schemeClr val="tx1"/>
                </a:solidFill>
              </a:rPr>
              <a:t>Total Sales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table'!$D$2:$D$9</c:f>
              <c:strCache>
                <c:ptCount val="7"/>
                <c:pt idx="0">
                  <c:v>Laptop</c:v>
                </c:pt>
                <c:pt idx="1">
                  <c:v>Phone</c:v>
                </c:pt>
                <c:pt idx="2">
                  <c:v>Powerbank</c:v>
                </c:pt>
                <c:pt idx="3">
                  <c:v>Headset</c:v>
                </c:pt>
                <c:pt idx="4">
                  <c:v>Cables</c:v>
                </c:pt>
                <c:pt idx="5">
                  <c:v>Monitor</c:v>
                </c:pt>
                <c:pt idx="6">
                  <c:v>Keyboard</c:v>
                </c:pt>
              </c:strCache>
            </c:strRef>
          </c:cat>
          <c:val>
            <c:numRef>
              <c:f>'Pivot table'!$E$2:$E$9</c:f>
              <c:numCache>
                <c:formatCode>General</c:formatCode>
                <c:ptCount val="7"/>
                <c:pt idx="0">
                  <c:v>4650000</c:v>
                </c:pt>
                <c:pt idx="1">
                  <c:v>3000000</c:v>
                </c:pt>
                <c:pt idx="2">
                  <c:v>1050000</c:v>
                </c:pt>
                <c:pt idx="3">
                  <c:v>960000</c:v>
                </c:pt>
                <c:pt idx="4">
                  <c:v>800000</c:v>
                </c:pt>
                <c:pt idx="5">
                  <c:v>520000</c:v>
                </c:pt>
                <c:pt idx="6">
                  <c:v>380000</c:v>
                </c:pt>
              </c:numCache>
            </c:numRef>
          </c:val>
          <c:extLst>
            <c:ext xmlns:c16="http://schemas.microsoft.com/office/drawing/2014/chart" uri="{C3380CC4-5D6E-409C-BE32-E72D297353CC}">
              <c16:uniqueId val="{00000000-EFFF-4F43-8F0A-286BACBBA393}"/>
            </c:ext>
          </c:extLst>
        </c:ser>
        <c:dLbls>
          <c:showLegendKey val="0"/>
          <c:showVal val="0"/>
          <c:showCatName val="0"/>
          <c:showSerName val="0"/>
          <c:showPercent val="0"/>
          <c:showBubbleSize val="0"/>
        </c:dLbls>
        <c:gapWidth val="115"/>
        <c:overlap val="-20"/>
        <c:axId val="694200527"/>
        <c:axId val="293759903"/>
      </c:barChart>
      <c:catAx>
        <c:axId val="69420052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93759903"/>
        <c:crosses val="autoZero"/>
        <c:auto val="1"/>
        <c:lblAlgn val="ctr"/>
        <c:lblOffset val="100"/>
        <c:noMultiLvlLbl val="0"/>
      </c:catAx>
      <c:valAx>
        <c:axId val="293759903"/>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4200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table!PivotTable4</c:name>
    <c:fmtId val="9"/>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Total Sales by a Salesperson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table'!$G$2:$G$12</c:f>
              <c:strCache>
                <c:ptCount val="10"/>
                <c:pt idx="0">
                  <c:v>Michael</c:v>
                </c:pt>
                <c:pt idx="1">
                  <c:v>Peter</c:v>
                </c:pt>
                <c:pt idx="2">
                  <c:v>Joy</c:v>
                </c:pt>
                <c:pt idx="3">
                  <c:v>Mary</c:v>
                </c:pt>
                <c:pt idx="4">
                  <c:v>John</c:v>
                </c:pt>
                <c:pt idx="5">
                  <c:v>Daniel</c:v>
                </c:pt>
                <c:pt idx="6">
                  <c:v>David</c:v>
                </c:pt>
                <c:pt idx="7">
                  <c:v>Victor</c:v>
                </c:pt>
                <c:pt idx="8">
                  <c:v>Joseph</c:v>
                </c:pt>
                <c:pt idx="9">
                  <c:v>Grace</c:v>
                </c:pt>
              </c:strCache>
            </c:strRef>
          </c:cat>
          <c:val>
            <c:numRef>
              <c:f>'Pivot table'!$H$2:$H$12</c:f>
              <c:numCache>
                <c:formatCode>General</c:formatCode>
                <c:ptCount val="10"/>
                <c:pt idx="0">
                  <c:v>3460000</c:v>
                </c:pt>
                <c:pt idx="1">
                  <c:v>1735000</c:v>
                </c:pt>
                <c:pt idx="2">
                  <c:v>1300000</c:v>
                </c:pt>
                <c:pt idx="3">
                  <c:v>1250000</c:v>
                </c:pt>
                <c:pt idx="4">
                  <c:v>900000</c:v>
                </c:pt>
                <c:pt idx="5">
                  <c:v>800000</c:v>
                </c:pt>
                <c:pt idx="6">
                  <c:v>625000</c:v>
                </c:pt>
                <c:pt idx="7">
                  <c:v>600000</c:v>
                </c:pt>
                <c:pt idx="8">
                  <c:v>350000</c:v>
                </c:pt>
                <c:pt idx="9">
                  <c:v>340000</c:v>
                </c:pt>
              </c:numCache>
            </c:numRef>
          </c:val>
          <c:extLst>
            <c:ext xmlns:c16="http://schemas.microsoft.com/office/drawing/2014/chart" uri="{C3380CC4-5D6E-409C-BE32-E72D297353CC}">
              <c16:uniqueId val="{00000000-EE72-2141-B05A-4FE53B82D13A}"/>
            </c:ext>
          </c:extLst>
        </c:ser>
        <c:dLbls>
          <c:showLegendKey val="0"/>
          <c:showVal val="0"/>
          <c:showCatName val="0"/>
          <c:showSerName val="0"/>
          <c:showPercent val="0"/>
          <c:showBubbleSize val="0"/>
        </c:dLbls>
        <c:gapWidth val="100"/>
        <c:overlap val="-24"/>
        <c:axId val="324153311"/>
        <c:axId val="324984703"/>
      </c:barChart>
      <c:catAx>
        <c:axId val="3241533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4984703"/>
        <c:crosses val="autoZero"/>
        <c:auto val="1"/>
        <c:lblAlgn val="ctr"/>
        <c:lblOffset val="100"/>
        <c:noMultiLvlLbl val="0"/>
      </c:catAx>
      <c:valAx>
        <c:axId val="32498470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415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table!PivotTable5</c:name>
    <c:fmtId val="9"/>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Quantity Sold by Sales person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table'!$A$16:$A$26</c:f>
              <c:strCache>
                <c:ptCount val="10"/>
                <c:pt idx="0">
                  <c:v>Victor</c:v>
                </c:pt>
                <c:pt idx="1">
                  <c:v>Michael</c:v>
                </c:pt>
                <c:pt idx="2">
                  <c:v>John</c:v>
                </c:pt>
                <c:pt idx="3">
                  <c:v>David</c:v>
                </c:pt>
                <c:pt idx="4">
                  <c:v>Peter</c:v>
                </c:pt>
                <c:pt idx="5">
                  <c:v>Joseph</c:v>
                </c:pt>
                <c:pt idx="6">
                  <c:v>Mary</c:v>
                </c:pt>
                <c:pt idx="7">
                  <c:v>Grace</c:v>
                </c:pt>
                <c:pt idx="8">
                  <c:v>Joy</c:v>
                </c:pt>
                <c:pt idx="9">
                  <c:v>Daniel</c:v>
                </c:pt>
              </c:strCache>
            </c:strRef>
          </c:cat>
          <c:val>
            <c:numRef>
              <c:f>'Pivot table'!$B$16:$B$26</c:f>
              <c:numCache>
                <c:formatCode>General</c:formatCode>
                <c:ptCount val="10"/>
                <c:pt idx="0">
                  <c:v>20</c:v>
                </c:pt>
                <c:pt idx="1">
                  <c:v>18</c:v>
                </c:pt>
                <c:pt idx="2">
                  <c:v>17</c:v>
                </c:pt>
                <c:pt idx="3">
                  <c:v>15</c:v>
                </c:pt>
                <c:pt idx="4">
                  <c:v>13</c:v>
                </c:pt>
                <c:pt idx="5">
                  <c:v>10</c:v>
                </c:pt>
                <c:pt idx="6">
                  <c:v>10</c:v>
                </c:pt>
                <c:pt idx="7">
                  <c:v>6</c:v>
                </c:pt>
                <c:pt idx="8">
                  <c:v>4</c:v>
                </c:pt>
                <c:pt idx="9">
                  <c:v>2</c:v>
                </c:pt>
              </c:numCache>
            </c:numRef>
          </c:val>
          <c:extLst>
            <c:ext xmlns:c16="http://schemas.microsoft.com/office/drawing/2014/chart" uri="{C3380CC4-5D6E-409C-BE32-E72D297353CC}">
              <c16:uniqueId val="{00000000-4DD8-3943-9B25-A8116769D917}"/>
            </c:ext>
          </c:extLst>
        </c:ser>
        <c:dLbls>
          <c:showLegendKey val="0"/>
          <c:showVal val="0"/>
          <c:showCatName val="0"/>
          <c:showSerName val="0"/>
          <c:showPercent val="0"/>
          <c:showBubbleSize val="0"/>
        </c:dLbls>
        <c:gapWidth val="115"/>
        <c:overlap val="-20"/>
        <c:axId val="653548143"/>
        <c:axId val="270252799"/>
      </c:barChart>
      <c:catAx>
        <c:axId val="65354814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70252799"/>
        <c:crosses val="autoZero"/>
        <c:auto val="1"/>
        <c:lblAlgn val="ctr"/>
        <c:lblOffset val="100"/>
        <c:noMultiLvlLbl val="0"/>
      </c:catAx>
      <c:valAx>
        <c:axId val="270252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3548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table!PivotTable7</c:name>
    <c:fmtId val="5"/>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Average 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table'!$G$16:$G$22</c:f>
              <c:strCache>
                <c:ptCount val="6"/>
                <c:pt idx="0">
                  <c:v>Portharcourt</c:v>
                </c:pt>
                <c:pt idx="1">
                  <c:v>Ondo</c:v>
                </c:pt>
                <c:pt idx="2">
                  <c:v>Abuja</c:v>
                </c:pt>
                <c:pt idx="3">
                  <c:v>Kano</c:v>
                </c:pt>
                <c:pt idx="4">
                  <c:v>Lagos </c:v>
                </c:pt>
                <c:pt idx="5">
                  <c:v>Ibadan</c:v>
                </c:pt>
              </c:strCache>
            </c:strRef>
          </c:cat>
          <c:val>
            <c:numRef>
              <c:f>'Pivot table'!$H$16:$H$22</c:f>
              <c:numCache>
                <c:formatCode>General</c:formatCode>
                <c:ptCount val="6"/>
                <c:pt idx="0">
                  <c:v>1366666.6666666667</c:v>
                </c:pt>
                <c:pt idx="1">
                  <c:v>900000</c:v>
                </c:pt>
                <c:pt idx="2">
                  <c:v>400000</c:v>
                </c:pt>
                <c:pt idx="3">
                  <c:v>352500</c:v>
                </c:pt>
                <c:pt idx="4">
                  <c:v>341666.66666666669</c:v>
                </c:pt>
                <c:pt idx="5">
                  <c:v>200000</c:v>
                </c:pt>
              </c:numCache>
            </c:numRef>
          </c:val>
          <c:extLst>
            <c:ext xmlns:c16="http://schemas.microsoft.com/office/drawing/2014/chart" uri="{C3380CC4-5D6E-409C-BE32-E72D297353CC}">
              <c16:uniqueId val="{00000000-0A1F-2148-973D-2397537D27A1}"/>
            </c:ext>
          </c:extLst>
        </c:ser>
        <c:dLbls>
          <c:showLegendKey val="0"/>
          <c:showVal val="0"/>
          <c:showCatName val="0"/>
          <c:showSerName val="0"/>
          <c:showPercent val="0"/>
          <c:showBubbleSize val="0"/>
        </c:dLbls>
        <c:gapWidth val="100"/>
        <c:overlap val="-24"/>
        <c:axId val="621127855"/>
        <c:axId val="276683407"/>
      </c:barChart>
      <c:catAx>
        <c:axId val="621127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76683407"/>
        <c:crosses val="autoZero"/>
        <c:auto val="1"/>
        <c:lblAlgn val="ctr"/>
        <c:lblOffset val="100"/>
        <c:noMultiLvlLbl val="0"/>
      </c:catAx>
      <c:valAx>
        <c:axId val="27668340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1127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table!PivotTable6</c:name>
    <c:fmtId val="4"/>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Count of Products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table'!$E$15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table'!$D$16:$D$22</c:f>
              <c:strCache>
                <c:ptCount val="6"/>
                <c:pt idx="0">
                  <c:v>Lagos </c:v>
                </c:pt>
                <c:pt idx="1">
                  <c:v>Abuja</c:v>
                </c:pt>
                <c:pt idx="2">
                  <c:v>Kano</c:v>
                </c:pt>
                <c:pt idx="3">
                  <c:v>Portharcourt</c:v>
                </c:pt>
                <c:pt idx="4">
                  <c:v>Ondo</c:v>
                </c:pt>
                <c:pt idx="5">
                  <c:v>Ibadan</c:v>
                </c:pt>
              </c:strCache>
            </c:strRef>
          </c:cat>
          <c:val>
            <c:numRef>
              <c:f>'Pivot table'!$E$16:$E$22</c:f>
              <c:numCache>
                <c:formatCode>General</c:formatCode>
                <c:ptCount val="6"/>
                <c:pt idx="0">
                  <c:v>6</c:v>
                </c:pt>
                <c:pt idx="1">
                  <c:v>4</c:v>
                </c:pt>
                <c:pt idx="2">
                  <c:v>4</c:v>
                </c:pt>
                <c:pt idx="3">
                  <c:v>3</c:v>
                </c:pt>
                <c:pt idx="4">
                  <c:v>2</c:v>
                </c:pt>
                <c:pt idx="5">
                  <c:v>2</c:v>
                </c:pt>
              </c:numCache>
            </c:numRef>
          </c:val>
          <c:extLst>
            <c:ext xmlns:c16="http://schemas.microsoft.com/office/drawing/2014/chart" uri="{C3380CC4-5D6E-409C-BE32-E72D297353CC}">
              <c16:uniqueId val="{00000000-927C-D74D-87F7-0FC9DDDE74F3}"/>
            </c:ext>
          </c:extLst>
        </c:ser>
        <c:dLbls>
          <c:showLegendKey val="0"/>
          <c:showVal val="0"/>
          <c:showCatName val="0"/>
          <c:showSerName val="0"/>
          <c:showPercent val="0"/>
          <c:showBubbleSize val="0"/>
        </c:dLbls>
        <c:gapWidth val="150"/>
        <c:overlap val="100"/>
        <c:axId val="330027519"/>
        <c:axId val="329649983"/>
      </c:barChart>
      <c:catAx>
        <c:axId val="3300275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9649983"/>
        <c:crosses val="autoZero"/>
        <c:auto val="1"/>
        <c:lblAlgn val="ctr"/>
        <c:lblOffset val="100"/>
        <c:noMultiLvlLbl val="0"/>
      </c:catAx>
      <c:valAx>
        <c:axId val="32964998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30027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7</xdr:col>
      <xdr:colOff>63500</xdr:colOff>
      <xdr:row>23</xdr:row>
      <xdr:rowOff>190500</xdr:rowOff>
    </xdr:from>
    <xdr:to>
      <xdr:col>8</xdr:col>
      <xdr:colOff>1130300</xdr:colOff>
      <xdr:row>37</xdr:row>
      <xdr:rowOff>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EBC07B22-1F2E-4EF8-75BE-7CEE8F92DD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048500" y="4927600"/>
              <a:ext cx="2578100" cy="2654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241300</xdr:colOff>
      <xdr:row>23</xdr:row>
      <xdr:rowOff>177800</xdr:rowOff>
    </xdr:from>
    <xdr:to>
      <xdr:col>13</xdr:col>
      <xdr:colOff>482600</xdr:colOff>
      <xdr:row>36</xdr:row>
      <xdr:rowOff>155572</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74D83C07-4CBC-21DE-A55C-801BE3DE038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125200" y="4914900"/>
              <a:ext cx="28067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xdr:colOff>
      <xdr:row>23</xdr:row>
      <xdr:rowOff>165100</xdr:rowOff>
    </xdr:from>
    <xdr:to>
      <xdr:col>16</xdr:col>
      <xdr:colOff>279400</xdr:colOff>
      <xdr:row>36</xdr:row>
      <xdr:rowOff>142872</xdr:rowOff>
    </xdr:to>
    <mc:AlternateContent xmlns:mc="http://schemas.openxmlformats.org/markup-compatibility/2006" xmlns:a14="http://schemas.microsoft.com/office/drawing/2010/main">
      <mc:Choice Requires="a14">
        <xdr:graphicFrame macro="">
          <xdr:nvGraphicFramePr>
            <xdr:cNvPr id="4" name="Salesperson">
              <a:extLst>
                <a:ext uri="{FF2B5EF4-FFF2-40B4-BE49-F238E27FC236}">
                  <a16:creationId xmlns:a16="http://schemas.microsoft.com/office/drawing/2014/main" id="{AA419B05-555F-4345-3A11-EA3C3F96289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4312900" y="4902200"/>
              <a:ext cx="25400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120649</xdr:colOff>
      <xdr:row>0</xdr:row>
      <xdr:rowOff>101600</xdr:rowOff>
    </xdr:from>
    <xdr:to>
      <xdr:col>7</xdr:col>
      <xdr:colOff>50800</xdr:colOff>
      <xdr:row>23</xdr:row>
      <xdr:rowOff>88900</xdr:rowOff>
    </xdr:to>
    <xdr:graphicFrame macro="">
      <xdr:nvGraphicFramePr>
        <xdr:cNvPr id="2" name="Chart 1">
          <a:extLst>
            <a:ext uri="{FF2B5EF4-FFF2-40B4-BE49-F238E27FC236}">
              <a16:creationId xmlns:a16="http://schemas.microsoft.com/office/drawing/2014/main" id="{052C8974-E07A-FC4E-6C46-C19040EF1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152400</xdr:colOff>
      <xdr:row>0</xdr:row>
      <xdr:rowOff>114300</xdr:rowOff>
    </xdr:from>
    <xdr:to>
      <xdr:col>14</xdr:col>
      <xdr:colOff>292100</xdr:colOff>
      <xdr:row>23</xdr:row>
      <xdr:rowOff>88900</xdr:rowOff>
    </xdr:to>
    <xdr:graphicFrame macro="">
      <xdr:nvGraphicFramePr>
        <xdr:cNvPr id="3" name="Chart 2">
          <a:extLst>
            <a:ext uri="{FF2B5EF4-FFF2-40B4-BE49-F238E27FC236}">
              <a16:creationId xmlns:a16="http://schemas.microsoft.com/office/drawing/2014/main" id="{00765218-BA81-474D-67CA-55EF64886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393700</xdr:colOff>
      <xdr:row>0</xdr:row>
      <xdr:rowOff>114300</xdr:rowOff>
    </xdr:from>
    <xdr:to>
      <xdr:col>21</xdr:col>
      <xdr:colOff>520700</xdr:colOff>
      <xdr:row>23</xdr:row>
      <xdr:rowOff>101600</xdr:rowOff>
    </xdr:to>
    <xdr:graphicFrame macro="">
      <xdr:nvGraphicFramePr>
        <xdr:cNvPr id="4" name="Chart 3">
          <a:extLst>
            <a:ext uri="{FF2B5EF4-FFF2-40B4-BE49-F238E27FC236}">
              <a16:creationId xmlns:a16="http://schemas.microsoft.com/office/drawing/2014/main" id="{37FF0D18-E948-682B-A54B-8E56C1E2C5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23</xdr:row>
      <xdr:rowOff>165100</xdr:rowOff>
    </xdr:from>
    <xdr:to>
      <xdr:col>7</xdr:col>
      <xdr:colOff>38100</xdr:colOff>
      <xdr:row>47</xdr:row>
      <xdr:rowOff>88901</xdr:rowOff>
    </xdr:to>
    <xdr:graphicFrame macro="">
      <xdr:nvGraphicFramePr>
        <xdr:cNvPr id="5" name="Chart 4">
          <a:extLst>
            <a:ext uri="{FF2B5EF4-FFF2-40B4-BE49-F238E27FC236}">
              <a16:creationId xmlns:a16="http://schemas.microsoft.com/office/drawing/2014/main" id="{A1BA47EB-C66D-F5C8-57C8-6528F79F5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406400</xdr:colOff>
      <xdr:row>23</xdr:row>
      <xdr:rowOff>165100</xdr:rowOff>
    </xdr:from>
    <xdr:to>
      <xdr:col>21</xdr:col>
      <xdr:colOff>546100</xdr:colOff>
      <xdr:row>47</xdr:row>
      <xdr:rowOff>50800</xdr:rowOff>
    </xdr:to>
    <xdr:graphicFrame macro="">
      <xdr:nvGraphicFramePr>
        <xdr:cNvPr id="8" name="Chart 7">
          <a:extLst>
            <a:ext uri="{FF2B5EF4-FFF2-40B4-BE49-F238E27FC236}">
              <a16:creationId xmlns:a16="http://schemas.microsoft.com/office/drawing/2014/main" id="{CC4958B0-AF1A-F64B-510A-05B587001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139700</xdr:colOff>
      <xdr:row>23</xdr:row>
      <xdr:rowOff>152400</xdr:rowOff>
    </xdr:from>
    <xdr:to>
      <xdr:col>14</xdr:col>
      <xdr:colOff>292100</xdr:colOff>
      <xdr:row>47</xdr:row>
      <xdr:rowOff>55035</xdr:rowOff>
    </xdr:to>
    <xdr:graphicFrame macro="">
      <xdr:nvGraphicFramePr>
        <xdr:cNvPr id="9" name="Chart 8">
          <a:extLst>
            <a:ext uri="{FF2B5EF4-FFF2-40B4-BE49-F238E27FC236}">
              <a16:creationId xmlns:a16="http://schemas.microsoft.com/office/drawing/2014/main" id="{884F1AED-246F-2230-78A9-0B39E75373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228600</xdr:colOff>
      <xdr:row>8</xdr:row>
      <xdr:rowOff>152400</xdr:rowOff>
    </xdr:from>
    <xdr:to>
      <xdr:col>7</xdr:col>
      <xdr:colOff>762000</xdr:colOff>
      <xdr:row>25</xdr:row>
      <xdr:rowOff>25400</xdr:rowOff>
    </xdr:to>
    <xdr:graphicFrame macro="">
      <xdr:nvGraphicFramePr>
        <xdr:cNvPr id="2" name="Chart 1">
          <a:extLst>
            <a:ext uri="{FF2B5EF4-FFF2-40B4-BE49-F238E27FC236}">
              <a16:creationId xmlns:a16="http://schemas.microsoft.com/office/drawing/2014/main" id="{D9429C6B-E66F-0746-8FB8-CF85CF1E0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660400</xdr:colOff>
      <xdr:row>0</xdr:row>
      <xdr:rowOff>190500</xdr:rowOff>
    </xdr:from>
    <xdr:to>
      <xdr:col>12</xdr:col>
      <xdr:colOff>774700</xdr:colOff>
      <xdr:row>2</xdr:row>
      <xdr:rowOff>114300</xdr:rowOff>
    </xdr:to>
    <xdr:sp macro="" textlink="">
      <xdr:nvSpPr>
        <xdr:cNvPr id="3" name="TextBox 2">
          <a:extLst>
            <a:ext uri="{FF2B5EF4-FFF2-40B4-BE49-F238E27FC236}">
              <a16:creationId xmlns:a16="http://schemas.microsoft.com/office/drawing/2014/main" id="{38C14D35-6066-B4FB-141A-91D454BE62ED}"/>
            </a:ext>
          </a:extLst>
        </xdr:cNvPr>
        <xdr:cNvSpPr txBox="1"/>
      </xdr:nvSpPr>
      <xdr:spPr>
        <a:xfrm>
          <a:off x="5473700" y="190500"/>
          <a:ext cx="671830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3200" b="1">
              <a:latin typeface="Al Tarikh" pitchFamily="2" charset="-78"/>
              <a:cs typeface="Al Tarikh" pitchFamily="2" charset="-78"/>
            </a:rPr>
            <a:t>SALES ANALYSIS DASHBOARD</a:t>
          </a:r>
        </a:p>
      </xdr:txBody>
    </xdr:sp>
    <xdr:clientData/>
  </xdr:twoCellAnchor>
  <xdr:twoCellAnchor>
    <xdr:from>
      <xdr:col>8</xdr:col>
      <xdr:colOff>101600</xdr:colOff>
      <xdr:row>8</xdr:row>
      <xdr:rowOff>165100</xdr:rowOff>
    </xdr:from>
    <xdr:to>
      <xdr:col>13</xdr:col>
      <xdr:colOff>254000</xdr:colOff>
      <xdr:row>25</xdr:row>
      <xdr:rowOff>12700</xdr:rowOff>
    </xdr:to>
    <xdr:graphicFrame macro="">
      <xdr:nvGraphicFramePr>
        <xdr:cNvPr id="4" name="Chart 3">
          <a:extLst>
            <a:ext uri="{FF2B5EF4-FFF2-40B4-BE49-F238E27FC236}">
              <a16:creationId xmlns:a16="http://schemas.microsoft.com/office/drawing/2014/main" id="{471D1342-2FBD-AB4F-8531-09383EF96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393700</xdr:colOff>
      <xdr:row>8</xdr:row>
      <xdr:rowOff>177800</xdr:rowOff>
    </xdr:from>
    <xdr:to>
      <xdr:col>19</xdr:col>
      <xdr:colOff>177800</xdr:colOff>
      <xdr:row>25</xdr:row>
      <xdr:rowOff>0</xdr:rowOff>
    </xdr:to>
    <xdr:graphicFrame macro="">
      <xdr:nvGraphicFramePr>
        <xdr:cNvPr id="5" name="Chart 4">
          <a:extLst>
            <a:ext uri="{FF2B5EF4-FFF2-40B4-BE49-F238E27FC236}">
              <a16:creationId xmlns:a16="http://schemas.microsoft.com/office/drawing/2014/main" id="{925330C8-78A9-A04F-B455-94E386C41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215900</xdr:colOff>
      <xdr:row>26</xdr:row>
      <xdr:rowOff>25400</xdr:rowOff>
    </xdr:from>
    <xdr:to>
      <xdr:col>7</xdr:col>
      <xdr:colOff>762000</xdr:colOff>
      <xdr:row>40</xdr:row>
      <xdr:rowOff>88900</xdr:rowOff>
    </xdr:to>
    <xdr:graphicFrame macro="">
      <xdr:nvGraphicFramePr>
        <xdr:cNvPr id="7" name="Chart 6">
          <a:extLst>
            <a:ext uri="{FF2B5EF4-FFF2-40B4-BE49-F238E27FC236}">
              <a16:creationId xmlns:a16="http://schemas.microsoft.com/office/drawing/2014/main" id="{43C17218-F21E-2544-80F4-6601CB486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101600</xdr:colOff>
      <xdr:row>26</xdr:row>
      <xdr:rowOff>12701</xdr:rowOff>
    </xdr:from>
    <xdr:to>
      <xdr:col>13</xdr:col>
      <xdr:colOff>254000</xdr:colOff>
      <xdr:row>40</xdr:row>
      <xdr:rowOff>63501</xdr:rowOff>
    </xdr:to>
    <xdr:graphicFrame macro="">
      <xdr:nvGraphicFramePr>
        <xdr:cNvPr id="8" name="Chart 7">
          <a:extLst>
            <a:ext uri="{FF2B5EF4-FFF2-40B4-BE49-F238E27FC236}">
              <a16:creationId xmlns:a16="http://schemas.microsoft.com/office/drawing/2014/main" id="{65E4C0A4-3FE7-1245-AFBF-EE7516B04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419100</xdr:colOff>
      <xdr:row>26</xdr:row>
      <xdr:rowOff>0</xdr:rowOff>
    </xdr:from>
    <xdr:to>
      <xdr:col>19</xdr:col>
      <xdr:colOff>165100</xdr:colOff>
      <xdr:row>40</xdr:row>
      <xdr:rowOff>50800</xdr:rowOff>
    </xdr:to>
    <xdr:graphicFrame macro="">
      <xdr:nvGraphicFramePr>
        <xdr:cNvPr id="9" name="Chart 8">
          <a:extLst>
            <a:ext uri="{FF2B5EF4-FFF2-40B4-BE49-F238E27FC236}">
              <a16:creationId xmlns:a16="http://schemas.microsoft.com/office/drawing/2014/main" id="{C1FD7E30-77FA-AE42-804C-CCB641C8B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190500</xdr:colOff>
      <xdr:row>10</xdr:row>
      <xdr:rowOff>25400</xdr:rowOff>
    </xdr:from>
    <xdr:to>
      <xdr:col>1</xdr:col>
      <xdr:colOff>1485900</xdr:colOff>
      <xdr:row>18</xdr:row>
      <xdr:rowOff>101600</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C3BDD8FA-AB03-644C-BD95-81E7D5FD115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90500" y="2514600"/>
              <a:ext cx="2743200" cy="170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215900</xdr:colOff>
      <xdr:row>18</xdr:row>
      <xdr:rowOff>190500</xdr:rowOff>
    </xdr:from>
    <xdr:to>
      <xdr:col>1</xdr:col>
      <xdr:colOff>1473200</xdr:colOff>
      <xdr:row>28</xdr:row>
      <xdr:rowOff>165100</xdr:rowOff>
    </xdr:to>
    <mc:AlternateContent xmlns:mc="http://schemas.openxmlformats.org/markup-compatibility/2006">
      <mc:Choice xmlns:a14="http://schemas.microsoft.com/office/drawing/2010/main" Requires="a14">
        <xdr:graphicFrame macro="">
          <xdr:nvGraphicFramePr>
            <xdr:cNvPr id="11" name="Product 1">
              <a:extLst>
                <a:ext uri="{FF2B5EF4-FFF2-40B4-BE49-F238E27FC236}">
                  <a16:creationId xmlns:a16="http://schemas.microsoft.com/office/drawing/2014/main" id="{6E71A5C2-4FB5-594B-9F48-6FF5B90DCB1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15900" y="4305300"/>
              <a:ext cx="2705100" cy="2006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29</xdr:row>
      <xdr:rowOff>50800</xdr:rowOff>
    </xdr:from>
    <xdr:to>
      <xdr:col>1</xdr:col>
      <xdr:colOff>1447800</xdr:colOff>
      <xdr:row>40</xdr:row>
      <xdr:rowOff>88900</xdr:rowOff>
    </xdr:to>
    <mc:AlternateContent xmlns:mc="http://schemas.openxmlformats.org/markup-compatibility/2006">
      <mc:Choice xmlns:a14="http://schemas.microsoft.com/office/drawing/2010/main" Requires="a14">
        <xdr:graphicFrame macro="">
          <xdr:nvGraphicFramePr>
            <xdr:cNvPr id="12" name="Salesperson 1">
              <a:extLst>
                <a:ext uri="{FF2B5EF4-FFF2-40B4-BE49-F238E27FC236}">
                  <a16:creationId xmlns:a16="http://schemas.microsoft.com/office/drawing/2014/main" id="{33D0785D-FBBE-C94D-8CEC-2B820DEFB5E9}"/>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228600" y="6400800"/>
              <a:ext cx="2667000" cy="2273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30.991262962962" createdVersion="8" refreshedVersion="8" minRefreshableVersion="3" recordCount="21" xr:uid="{0A549671-B190-654C-8421-08BF8C980294}">
  <cacheSource type="worksheet">
    <worksheetSource name="Table2"/>
  </cacheSource>
  <cacheFields count="7">
    <cacheField name="Date" numFmtId="14">
      <sharedItems containsDate="1" containsMixedTypes="1" minDate="2026-05-07T00:00:00" maxDate="2026-12-08T00:00:00"/>
    </cacheField>
    <cacheField name="Product" numFmtId="0">
      <sharedItems count="7">
        <s v="Laptop"/>
        <s v="Phone"/>
        <s v="Headset"/>
        <s v="Keyboard"/>
        <s v="Monitor"/>
        <s v="Cables"/>
        <s v="Powerbank"/>
      </sharedItems>
    </cacheField>
    <cacheField name="Region" numFmtId="0">
      <sharedItems count="6">
        <s v="Lagos "/>
        <s v="Abuja"/>
        <s v="Ibadan"/>
        <s v="Kano"/>
        <s v="Portharcourt"/>
        <s v="Ondo"/>
      </sharedItems>
    </cacheField>
    <cacheField name="Salesperson" numFmtId="0">
      <sharedItems count="10">
        <s v="John"/>
        <s v="Mary"/>
        <s v="David"/>
        <s v="Grace"/>
        <s v="Peter"/>
        <s v="Victor"/>
        <s v="Michael"/>
        <s v="Joy"/>
        <s v="Joseph"/>
        <s v="Daniel"/>
      </sharedItems>
    </cacheField>
    <cacheField name="Quantity" numFmtId="0">
      <sharedItems containsSemiMixedTypes="0" containsString="0" containsNumber="1" containsInteger="1" minValue="1" maxValue="20"/>
    </cacheField>
    <cacheField name="Unit Price" numFmtId="165">
      <sharedItems containsSemiMixedTypes="0" containsString="0" containsNumber="1" containsInteger="1" minValue="10000" maxValue="700000"/>
    </cacheField>
    <cacheField name="Total Sales" numFmtId="165">
      <sharedItems containsSemiMixedTypes="0" containsString="0" containsNumber="1" containsInteger="1" minValue="50000" maxValue="2800000" count="16">
        <n v="700000"/>
        <n v="900000"/>
        <n v="250000"/>
        <n v="180000"/>
        <n v="360000"/>
        <n v="600000"/>
        <n v="300000"/>
        <n v="1000000"/>
        <n v="200000"/>
        <n v="150000"/>
        <n v="375000"/>
        <n v="160000"/>
        <n v="2800000"/>
        <n v="350000"/>
        <n v="800000"/>
        <n v="50000"/>
      </sharedItems>
    </cacheField>
  </cacheFields>
  <extLst>
    <ext xmlns:x14="http://schemas.microsoft.com/office/spreadsheetml/2009/9/main" uri="{725AE2AE-9491-48be-B2B4-4EB974FC3084}">
      <x14:pivotCacheDefinition pivotCacheId="8923058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d v="2026-05-07T00:00:00"/>
    <x v="0"/>
    <x v="0"/>
    <x v="0"/>
    <n v="2"/>
    <n v="350000"/>
    <x v="0"/>
  </r>
  <r>
    <d v="2026-06-07T00:00:00"/>
    <x v="1"/>
    <x v="1"/>
    <x v="1"/>
    <n v="5"/>
    <n v="180000"/>
    <x v="1"/>
  </r>
  <r>
    <d v="2026-07-07T00:00:00"/>
    <x v="2"/>
    <x v="2"/>
    <x v="2"/>
    <n v="10"/>
    <n v="25000"/>
    <x v="2"/>
  </r>
  <r>
    <d v="2026-08-07T00:00:00"/>
    <x v="3"/>
    <x v="0"/>
    <x v="3"/>
    <n v="4"/>
    <n v="45000"/>
    <x v="3"/>
  </r>
  <r>
    <d v="2026-09-07T00:00:00"/>
    <x v="4"/>
    <x v="3"/>
    <x v="4"/>
    <n v="3"/>
    <n v="120000"/>
    <x v="4"/>
  </r>
  <r>
    <d v="2026-10-07T00:00:00"/>
    <x v="5"/>
    <x v="0"/>
    <x v="5"/>
    <n v="20"/>
    <n v="30000"/>
    <x v="5"/>
  </r>
  <r>
    <d v="2026-11-07T00:00:00"/>
    <x v="6"/>
    <x v="3"/>
    <x v="6"/>
    <n v="2"/>
    <n v="150000"/>
    <x v="6"/>
  </r>
  <r>
    <d v="2026-12-07T00:00:00"/>
    <x v="0"/>
    <x v="4"/>
    <x v="7"/>
    <n v="2"/>
    <n v="500000"/>
    <x v="7"/>
  </r>
  <r>
    <s v="13/7/26"/>
    <x v="2"/>
    <x v="0"/>
    <x v="6"/>
    <n v="12"/>
    <n v="30000"/>
    <x v="4"/>
  </r>
  <r>
    <s v="14/7/26"/>
    <x v="3"/>
    <x v="1"/>
    <x v="1"/>
    <n v="4"/>
    <n v="50000"/>
    <x v="8"/>
  </r>
  <r>
    <s v="15/7/26"/>
    <x v="5"/>
    <x v="2"/>
    <x v="0"/>
    <n v="10"/>
    <n v="15000"/>
    <x v="9"/>
  </r>
  <r>
    <s v="16/7/26"/>
    <x v="6"/>
    <x v="3"/>
    <x v="2"/>
    <n v="5"/>
    <n v="75000"/>
    <x v="10"/>
  </r>
  <r>
    <s v="17/7/26"/>
    <x v="4"/>
    <x v="0"/>
    <x v="3"/>
    <n v="2"/>
    <n v="80000"/>
    <x v="11"/>
  </r>
  <r>
    <s v="18/7/26"/>
    <x v="0"/>
    <x v="4"/>
    <x v="6"/>
    <n v="4"/>
    <n v="700000"/>
    <x v="12"/>
  </r>
  <r>
    <s v="19/7/26"/>
    <x v="1"/>
    <x v="5"/>
    <x v="4"/>
    <n v="5"/>
    <n v="200000"/>
    <x v="7"/>
  </r>
  <r>
    <s v="20/7/26"/>
    <x v="2"/>
    <x v="1"/>
    <x v="8"/>
    <n v="10"/>
    <n v="35000"/>
    <x v="13"/>
  </r>
  <r>
    <s v="21/7/26"/>
    <x v="1"/>
    <x v="5"/>
    <x v="9"/>
    <n v="2"/>
    <n v="400000"/>
    <x v="14"/>
  </r>
  <r>
    <s v="22/7/26"/>
    <x v="5"/>
    <x v="0"/>
    <x v="0"/>
    <n v="5"/>
    <n v="10000"/>
    <x v="15"/>
  </r>
  <r>
    <s v="23/7/26"/>
    <x v="6"/>
    <x v="3"/>
    <x v="4"/>
    <n v="5"/>
    <n v="75000"/>
    <x v="10"/>
  </r>
  <r>
    <s v="24/7/26"/>
    <x v="1"/>
    <x v="4"/>
    <x v="7"/>
    <n v="2"/>
    <n v="150000"/>
    <x v="6"/>
  </r>
  <r>
    <s v="25/7/26"/>
    <x v="0"/>
    <x v="1"/>
    <x v="1"/>
    <n v="1"/>
    <n v="15000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6835B0-8C6C-2549-927A-252F22CBBCB7}"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alesperson">
  <location ref="G1:H12" firstHeaderRow="1" firstDataRow="1" firstDataCol="1"/>
  <pivotFields count="7">
    <pivotField showAll="0"/>
    <pivotField showAll="0">
      <items count="8">
        <item x="5"/>
        <item x="2"/>
        <item x="3"/>
        <item x="0"/>
        <item x="4"/>
        <item x="1"/>
        <item x="6"/>
        <item t="default"/>
      </items>
    </pivotField>
    <pivotField showAll="0">
      <items count="7">
        <item x="1"/>
        <item x="2"/>
        <item x="3"/>
        <item x="0"/>
        <item x="5"/>
        <item x="4"/>
        <item t="default"/>
      </items>
    </pivotField>
    <pivotField axis="axisRow" showAll="0" sortType="descending">
      <items count="11">
        <item x="5"/>
        <item x="4"/>
        <item x="6"/>
        <item x="1"/>
        <item x="7"/>
        <item x="8"/>
        <item x="0"/>
        <item x="3"/>
        <item x="2"/>
        <item x="9"/>
        <item t="default"/>
      </items>
      <autoSortScope>
        <pivotArea dataOnly="0" outline="0" fieldPosition="0">
          <references count="1">
            <reference field="4294967294" count="1" selected="0">
              <x v="0"/>
            </reference>
          </references>
        </pivotArea>
      </autoSortScope>
    </pivotField>
    <pivotField showAll="0"/>
    <pivotField numFmtId="165" showAll="0"/>
    <pivotField dataField="1" numFmtId="165" showAll="0"/>
  </pivotFields>
  <rowFields count="1">
    <field x="3"/>
  </rowFields>
  <rowItems count="11">
    <i>
      <x v="2"/>
    </i>
    <i>
      <x v="1"/>
    </i>
    <i>
      <x v="4"/>
    </i>
    <i>
      <x v="3"/>
    </i>
    <i>
      <x v="6"/>
    </i>
    <i>
      <x v="9"/>
    </i>
    <i>
      <x v="8"/>
    </i>
    <i>
      <x/>
    </i>
    <i>
      <x v="5"/>
    </i>
    <i>
      <x v="7"/>
    </i>
    <i t="grand">
      <x/>
    </i>
  </rowItems>
  <colItems count="1">
    <i/>
  </colItems>
  <dataFields count="1">
    <dataField name="Sum of Total Sales" fld="6" baseField="0" baseItem="0"/>
  </dataFields>
  <formats count="2">
    <format dxfId="221">
      <pivotArea dataOnly="0" labelOnly="1" outline="0" axis="axisValues" fieldPosition="0"/>
    </format>
    <format dxfId="220">
      <pivotArea field="3"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F93805-F1DF-1645-B844-255A115D4E7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s">
  <location ref="D1:E9" firstHeaderRow="1" firstDataRow="1" firstDataCol="1"/>
  <pivotFields count="7">
    <pivotField showAll="0"/>
    <pivotField axis="axisRow" showAll="0" sortType="descending">
      <items count="8">
        <item x="6"/>
        <item x="1"/>
        <item x="4"/>
        <item x="0"/>
        <item x="3"/>
        <item x="2"/>
        <item x="5"/>
        <item t="default"/>
      </items>
      <autoSortScope>
        <pivotArea dataOnly="0" outline="0" fieldPosition="0">
          <references count="1">
            <reference field="4294967294" count="1" selected="0">
              <x v="0"/>
            </reference>
          </references>
        </pivotArea>
      </autoSortScope>
    </pivotField>
    <pivotField showAll="0">
      <items count="7">
        <item x="1"/>
        <item x="2"/>
        <item x="3"/>
        <item x="0"/>
        <item x="5"/>
        <item x="4"/>
        <item t="default"/>
      </items>
    </pivotField>
    <pivotField showAll="0">
      <items count="11">
        <item x="9"/>
        <item x="2"/>
        <item x="3"/>
        <item x="0"/>
        <item x="8"/>
        <item x="7"/>
        <item x="1"/>
        <item x="6"/>
        <item x="4"/>
        <item x="5"/>
        <item t="default"/>
      </items>
    </pivotField>
    <pivotField showAll="0"/>
    <pivotField numFmtId="165" showAll="0"/>
    <pivotField dataField="1" numFmtId="165" showAll="0"/>
  </pivotFields>
  <rowFields count="1">
    <field x="1"/>
  </rowFields>
  <rowItems count="8">
    <i>
      <x v="3"/>
    </i>
    <i>
      <x v="1"/>
    </i>
    <i>
      <x/>
    </i>
    <i>
      <x v="5"/>
    </i>
    <i>
      <x v="6"/>
    </i>
    <i>
      <x v="2"/>
    </i>
    <i>
      <x v="4"/>
    </i>
    <i t="grand">
      <x/>
    </i>
  </rowItems>
  <colItems count="1">
    <i/>
  </colItems>
  <dataFields count="1">
    <dataField name="Sum of Total Sales" fld="6" baseField="0" baseItem="0"/>
  </dataFields>
  <formats count="2">
    <format dxfId="223">
      <pivotArea dataOnly="0" labelOnly="1" outline="0" axis="axisValues" fieldPosition="0"/>
    </format>
    <format dxfId="222">
      <pivotArea field="1"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E38807-760D-FE47-8A56-585148A52EF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gion">
  <location ref="A1:B8" firstHeaderRow="1" firstDataRow="1" firstDataCol="1"/>
  <pivotFields count="7">
    <pivotField showAll="0"/>
    <pivotField showAll="0">
      <items count="8">
        <item x="5"/>
        <item x="2"/>
        <item x="3"/>
        <item x="0"/>
        <item x="4"/>
        <item x="1"/>
        <item x="6"/>
        <item t="default"/>
      </items>
    </pivotField>
    <pivotField axis="axisRow" showAll="0" sortType="descending">
      <items count="7">
        <item x="4"/>
        <item x="5"/>
        <item x="0"/>
        <item x="3"/>
        <item x="2"/>
        <item x="1"/>
        <item t="default"/>
      </items>
      <autoSortScope>
        <pivotArea dataOnly="0" outline="0" fieldPosition="0">
          <references count="1">
            <reference field="4294967294" count="1" selected="0">
              <x v="0"/>
            </reference>
          </references>
        </pivotArea>
      </autoSortScope>
    </pivotField>
    <pivotField showAll="0">
      <items count="11">
        <item x="9"/>
        <item x="2"/>
        <item x="3"/>
        <item x="0"/>
        <item x="8"/>
        <item x="7"/>
        <item x="1"/>
        <item x="6"/>
        <item x="4"/>
        <item x="5"/>
        <item t="default"/>
      </items>
    </pivotField>
    <pivotField showAll="0"/>
    <pivotField numFmtId="165" showAll="0"/>
    <pivotField dataField="1" numFmtId="165" showAll="0">
      <items count="17">
        <item x="15"/>
        <item x="9"/>
        <item x="11"/>
        <item x="3"/>
        <item x="8"/>
        <item x="2"/>
        <item x="6"/>
        <item x="13"/>
        <item x="4"/>
        <item x="10"/>
        <item x="5"/>
        <item x="0"/>
        <item x="14"/>
        <item x="1"/>
        <item x="7"/>
        <item x="12"/>
        <item t="default"/>
      </items>
    </pivotField>
  </pivotFields>
  <rowFields count="1">
    <field x="2"/>
  </rowFields>
  <rowItems count="7">
    <i>
      <x/>
    </i>
    <i>
      <x v="2"/>
    </i>
    <i>
      <x v="1"/>
    </i>
    <i>
      <x v="5"/>
    </i>
    <i>
      <x v="3"/>
    </i>
    <i>
      <x v="4"/>
    </i>
    <i t="grand">
      <x/>
    </i>
  </rowItems>
  <colItems count="1">
    <i/>
  </colItems>
  <dataFields count="1">
    <dataField name="Sum of Total Sales" fld="6" baseField="0" baseItem="0"/>
  </dataFields>
  <formats count="2">
    <format dxfId="225">
      <pivotArea dataOnly="0" labelOnly="1" outline="0" axis="axisValues" fieldPosition="0"/>
    </format>
    <format dxfId="224">
      <pivotArea field="2" type="button" dataOnly="0" labelOnly="1" outline="0" axis="axisRow" fieldPosition="0"/>
    </format>
  </formats>
  <chartFormats count="3">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AED67E-FB61-A24B-8FB3-A5905590BD1C}"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G15:H22" firstHeaderRow="1" firstDataRow="1" firstDataCol="1"/>
  <pivotFields count="7">
    <pivotField showAll="0"/>
    <pivotField showAll="0">
      <items count="8">
        <item x="5"/>
        <item x="2"/>
        <item x="3"/>
        <item x="0"/>
        <item x="4"/>
        <item x="1"/>
        <item x="6"/>
        <item t="default"/>
      </items>
    </pivotField>
    <pivotField axis="axisRow" showAll="0" sortType="descending">
      <items count="7">
        <item x="4"/>
        <item x="5"/>
        <item x="0"/>
        <item x="3"/>
        <item x="2"/>
        <item x="1"/>
        <item t="default"/>
      </items>
      <autoSortScope>
        <pivotArea dataOnly="0" outline="0" fieldPosition="0">
          <references count="1">
            <reference field="4294967294" count="1" selected="0">
              <x v="0"/>
            </reference>
          </references>
        </pivotArea>
      </autoSortScope>
    </pivotField>
    <pivotField showAll="0">
      <items count="11">
        <item x="9"/>
        <item x="2"/>
        <item x="3"/>
        <item x="0"/>
        <item x="8"/>
        <item x="7"/>
        <item x="1"/>
        <item x="6"/>
        <item x="4"/>
        <item x="5"/>
        <item t="default"/>
      </items>
    </pivotField>
    <pivotField showAll="0"/>
    <pivotField numFmtId="165" showAll="0"/>
    <pivotField dataField="1" numFmtId="165" showAll="0"/>
  </pivotFields>
  <rowFields count="1">
    <field x="2"/>
  </rowFields>
  <rowItems count="7">
    <i>
      <x/>
    </i>
    <i>
      <x v="1"/>
    </i>
    <i>
      <x v="5"/>
    </i>
    <i>
      <x v="3"/>
    </i>
    <i>
      <x v="2"/>
    </i>
    <i>
      <x v="4"/>
    </i>
    <i t="grand">
      <x/>
    </i>
  </rowItems>
  <colItems count="1">
    <i/>
  </colItems>
  <dataFields count="1">
    <dataField name="Average of Total Sales" fld="6" subtotal="average" baseField="0" baseItem="0"/>
  </dataFields>
  <formats count="2">
    <format dxfId="227">
      <pivotArea dataOnly="0" labelOnly="1" outline="0" axis="axisValues" fieldPosition="0"/>
    </format>
    <format dxfId="226">
      <pivotArea field="2"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BEB089-DE4D-134F-8337-A198F31360CB}"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D15:E22" firstHeaderRow="1" firstDataRow="1" firstDataCol="1"/>
  <pivotFields count="7">
    <pivotField showAll="0"/>
    <pivotField dataField="1" showAll="0">
      <items count="8">
        <item x="5"/>
        <item x="2"/>
        <item x="3"/>
        <item x="0"/>
        <item x="4"/>
        <item x="1"/>
        <item x="6"/>
        <item t="default"/>
      </items>
    </pivotField>
    <pivotField axis="axisRow" showAll="0" sortType="descending">
      <items count="7">
        <item x="4"/>
        <item x="5"/>
        <item x="0"/>
        <item x="3"/>
        <item x="2"/>
        <item x="1"/>
        <item t="default"/>
      </items>
      <autoSortScope>
        <pivotArea dataOnly="0" outline="0" fieldPosition="0">
          <references count="1">
            <reference field="4294967294" count="1" selected="0">
              <x v="0"/>
            </reference>
          </references>
        </pivotArea>
      </autoSortScope>
    </pivotField>
    <pivotField showAll="0">
      <items count="11">
        <item x="9"/>
        <item x="2"/>
        <item x="3"/>
        <item x="0"/>
        <item x="8"/>
        <item x="7"/>
        <item x="1"/>
        <item x="6"/>
        <item x="4"/>
        <item x="5"/>
        <item t="default"/>
      </items>
    </pivotField>
    <pivotField showAll="0"/>
    <pivotField numFmtId="165" showAll="0"/>
    <pivotField numFmtId="165" showAll="0"/>
  </pivotFields>
  <rowFields count="1">
    <field x="2"/>
  </rowFields>
  <rowItems count="7">
    <i>
      <x v="2"/>
    </i>
    <i>
      <x v="5"/>
    </i>
    <i>
      <x v="3"/>
    </i>
    <i>
      <x/>
    </i>
    <i>
      <x v="1"/>
    </i>
    <i>
      <x v="4"/>
    </i>
    <i t="grand">
      <x/>
    </i>
  </rowItems>
  <colItems count="1">
    <i/>
  </colItems>
  <dataFields count="1">
    <dataField name="Count of Product" fld="1" subtotal="count" baseField="0" baseItem="0"/>
  </dataFields>
  <formats count="2">
    <format dxfId="229">
      <pivotArea dataOnly="0" labelOnly="1" outline="0" axis="axisValues" fieldPosition="0"/>
    </format>
    <format dxfId="228">
      <pivotArea field="2"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D36336-C40D-8B4B-A715-7C513EDF290F}"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alesperson">
  <location ref="A15:B26" firstHeaderRow="1" firstDataRow="1" firstDataCol="1"/>
  <pivotFields count="7">
    <pivotField showAll="0"/>
    <pivotField showAll="0">
      <items count="8">
        <item x="5"/>
        <item x="2"/>
        <item x="3"/>
        <item x="0"/>
        <item x="4"/>
        <item x="1"/>
        <item x="6"/>
        <item t="default"/>
      </items>
    </pivotField>
    <pivotField showAll="0">
      <items count="7">
        <item x="1"/>
        <item x="2"/>
        <item x="3"/>
        <item x="0"/>
        <item x="5"/>
        <item x="4"/>
        <item t="default"/>
      </items>
    </pivotField>
    <pivotField axis="axisRow" showAll="0" sortType="descending">
      <items count="11">
        <item x="5"/>
        <item x="4"/>
        <item x="6"/>
        <item x="1"/>
        <item x="7"/>
        <item x="8"/>
        <item x="0"/>
        <item x="3"/>
        <item x="2"/>
        <item x="9"/>
        <item t="default"/>
      </items>
      <autoSortScope>
        <pivotArea dataOnly="0" outline="0" fieldPosition="0">
          <references count="1">
            <reference field="4294967294" count="1" selected="0">
              <x v="0"/>
            </reference>
          </references>
        </pivotArea>
      </autoSortScope>
    </pivotField>
    <pivotField dataField="1" showAll="0"/>
    <pivotField numFmtId="165" showAll="0"/>
    <pivotField numFmtId="165" showAll="0"/>
  </pivotFields>
  <rowFields count="1">
    <field x="3"/>
  </rowFields>
  <rowItems count="11">
    <i>
      <x/>
    </i>
    <i>
      <x v="2"/>
    </i>
    <i>
      <x v="6"/>
    </i>
    <i>
      <x v="8"/>
    </i>
    <i>
      <x v="1"/>
    </i>
    <i>
      <x v="5"/>
    </i>
    <i>
      <x v="3"/>
    </i>
    <i>
      <x v="7"/>
    </i>
    <i>
      <x v="4"/>
    </i>
    <i>
      <x v="9"/>
    </i>
    <i t="grand">
      <x/>
    </i>
  </rowItems>
  <colItems count="1">
    <i/>
  </colItems>
  <dataFields count="1">
    <dataField name="Sum of Quantity" fld="4" baseField="0" baseItem="0"/>
  </dataFields>
  <formats count="2">
    <format dxfId="231">
      <pivotArea dataOnly="0" labelOnly="1" outline="0" axis="axisValues" fieldPosition="0"/>
    </format>
    <format dxfId="230">
      <pivotArea field="3"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35D2D4-834A-D24D-82C8-5A1D646061A4}" sourceName="Region">
  <pivotTables>
    <pivotTable tabId="2" name="PivotTable2"/>
    <pivotTable tabId="2" name="PivotTable3"/>
    <pivotTable tabId="2" name="PivotTable4"/>
    <pivotTable tabId="2" name="PivotTable5"/>
    <pivotTable tabId="2" name="PivotTable6"/>
    <pivotTable tabId="2" name="PivotTable7"/>
  </pivotTables>
  <data>
    <tabular pivotCacheId="892305808">
      <items count="6">
        <i x="1" s="1"/>
        <i x="2" s="1"/>
        <i x="3" s="1"/>
        <i x="0"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B0C5902-26A5-0341-BA02-34341AD0AE8E}" sourceName="Product">
  <pivotTables>
    <pivotTable tabId="2" name="PivotTable2"/>
    <pivotTable tabId="2" name="PivotTable3"/>
    <pivotTable tabId="2" name="PivotTable4"/>
    <pivotTable tabId="2" name="PivotTable5"/>
    <pivotTable tabId="2" name="PivotTable6"/>
    <pivotTable tabId="2" name="PivotTable7"/>
  </pivotTables>
  <data>
    <tabular pivotCacheId="892305808">
      <items count="7">
        <i x="5" s="1"/>
        <i x="2" s="1"/>
        <i x="3" s="1"/>
        <i x="0" s="1"/>
        <i x="4" s="1"/>
        <i x="1"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BB44B71D-3A24-B74B-B81A-389B5979113B}" sourceName="Salesperson">
  <pivotTables>
    <pivotTable tabId="2" name="PivotTable2"/>
    <pivotTable tabId="2" name="PivotTable3"/>
    <pivotTable tabId="2" name="PivotTable4"/>
    <pivotTable tabId="2" name="PivotTable5"/>
    <pivotTable tabId="2" name="PivotTable6"/>
    <pivotTable tabId="2" name="PivotTable7"/>
  </pivotTables>
  <data>
    <tabular pivotCacheId="892305808">
      <items count="10">
        <i x="9" s="1"/>
        <i x="2" s="1"/>
        <i x="3" s="1"/>
        <i x="0" s="1"/>
        <i x="8" s="1"/>
        <i x="7" s="1"/>
        <i x="1" s="1"/>
        <i x="6"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9349C4B-90FE-2847-8293-D25DF7AB4D47}" cache="Slicer_Region" caption="Region" style="SlicerStyleLight6" rowHeight="251883"/>
  <slicer name="Product" xr10:uid="{FACA83A3-7C72-824A-B30B-0F7EC1AA7C2D}" cache="Slicer_Product" caption="Product" style="SlicerStyleLight6" rowHeight="251883"/>
  <slicer name="Salesperson" xr10:uid="{5DAE9AF5-03FF-7345-8AC6-7FD6FB55C25D}" cache="Slicer_Salesperson" caption="Salesperson" style="SlicerStyleLight6"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6EA9EAD-2044-D94B-A383-A5F8EE56898A}" cache="Slicer_Region" caption="Region" style="SlicerStyleLight6" rowHeight="251883"/>
  <slicer name="Product 1" xr10:uid="{3FB5DA35-5994-2A4A-A102-4E6676711D26}" cache="Slicer_Product" caption="Product" style="SlicerStyleLight6" rowHeight="251883"/>
  <slicer name="Salesperson 1" xr10:uid="{B7320CD8-E17C-6C4C-91FD-017D829A8061}" cache="Slicer_Salesperson" caption="Salesperson" style="SlicerStyleLight6"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097AF0-0D83-F141-82F2-157785BC0F8F}" name="Table2" displayName="Table2" ref="A1:H22" totalsRowShown="0">
  <autoFilter ref="A1:H22" xr:uid="{BA097AF0-0D83-F141-82F2-157785BC0F8F}"/>
  <tableColumns count="8">
    <tableColumn id="1" xr3:uid="{7B310F55-364F-7B4F-9E50-FE4760922DD7}" name="Date" dataDxfId="236"/>
    <tableColumn id="2" xr3:uid="{33354E6B-1A07-BE40-9B55-AC98980819C4}" name="Product"/>
    <tableColumn id="3" xr3:uid="{F4EE159A-A441-2E4C-A43F-074025FF28A3}" name="Region"/>
    <tableColumn id="4" xr3:uid="{A916AD32-6DB2-0641-954F-62E0E09D3204}" name="Salesperson"/>
    <tableColumn id="5" xr3:uid="{1EBF887B-7202-2F46-BF8D-59AC8DF83C3B}" name="Quantity" dataDxfId="235"/>
    <tableColumn id="6" xr3:uid="{99401790-7B7B-DF4A-B060-70D4BF90D7A0}" name="Unit Price" dataDxfId="234"/>
    <tableColumn id="7" xr3:uid="{A3A0A69B-FA18-8546-AEED-5FE047CF6E48}" name="Total Sales" dataDxfId="233">
      <calculatedColumnFormula>E2*F2</calculatedColumnFormula>
    </tableColumn>
    <tableColumn id="9" xr3:uid="{DB43244F-5107-F249-B719-CC162320E5AF}" name="Performance" dataDxfId="232">
      <calculatedColumnFormula>IF(Table2[[#This Row],[Total Sales]]&gt;=1000000,"High sales","Low sales")</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F508F-AB8E-3C4E-87EB-36730D817172}">
  <dimension ref="A1:H29"/>
  <sheetViews>
    <sheetView workbookViewId="0">
      <selection activeCell="I20" sqref="I20"/>
    </sheetView>
  </sheetViews>
  <sheetFormatPr baseColWidth="10" defaultRowHeight="16" x14ac:dyDescent="0.2"/>
  <cols>
    <col min="1" max="1" width="8.5" style="3" customWidth="1"/>
    <col min="2" max="2" width="17.83203125" customWidth="1"/>
    <col min="3" max="3" width="17.6640625" customWidth="1"/>
    <col min="4" max="4" width="17.1640625" customWidth="1"/>
    <col min="5" max="5" width="14.6640625" customWidth="1"/>
    <col min="6" max="6" width="16.6640625" style="8" customWidth="1"/>
    <col min="7" max="7" width="17.1640625" style="6" customWidth="1"/>
    <col min="8" max="8" width="15" customWidth="1"/>
  </cols>
  <sheetData>
    <row r="1" spans="1:8" x14ac:dyDescent="0.2">
      <c r="A1" s="9" t="s">
        <v>0</v>
      </c>
      <c r="B1" s="2" t="s">
        <v>1</v>
      </c>
      <c r="C1" s="2" t="s">
        <v>2</v>
      </c>
      <c r="D1" s="2" t="s">
        <v>3</v>
      </c>
      <c r="E1" s="2" t="s">
        <v>4</v>
      </c>
      <c r="F1" s="7" t="s">
        <v>5</v>
      </c>
      <c r="G1" s="5" t="s">
        <v>6</v>
      </c>
      <c r="H1" t="s">
        <v>56</v>
      </c>
    </row>
    <row r="2" spans="1:8" x14ac:dyDescent="0.2">
      <c r="A2" s="4">
        <v>46149</v>
      </c>
      <c r="B2" t="s">
        <v>7</v>
      </c>
      <c r="C2" t="s">
        <v>12</v>
      </c>
      <c r="D2" t="s">
        <v>16</v>
      </c>
      <c r="E2">
        <v>2</v>
      </c>
      <c r="F2" s="8">
        <v>350000</v>
      </c>
      <c r="G2" s="8">
        <f t="shared" ref="G2:G22" si="0">E2*F2</f>
        <v>700000</v>
      </c>
      <c r="H2" t="str">
        <f>IF(Table2[[#This Row],[Total Sales]]&gt;=1000000,"High sales","Low sales")</f>
        <v>Low sales</v>
      </c>
    </row>
    <row r="3" spans="1:8" x14ac:dyDescent="0.2">
      <c r="A3" s="4">
        <v>46180</v>
      </c>
      <c r="B3" t="s">
        <v>8</v>
      </c>
      <c r="C3" t="s">
        <v>13</v>
      </c>
      <c r="D3" t="s">
        <v>17</v>
      </c>
      <c r="E3">
        <v>5</v>
      </c>
      <c r="F3" s="8">
        <v>180000</v>
      </c>
      <c r="G3" s="8">
        <f t="shared" si="0"/>
        <v>900000</v>
      </c>
      <c r="H3" t="str">
        <f>IF(Table2[[#This Row],[Total Sales]]&gt;=1000000,"High sales","Low sales")</f>
        <v>Low sales</v>
      </c>
    </row>
    <row r="4" spans="1:8" x14ac:dyDescent="0.2">
      <c r="A4" s="4">
        <v>46210</v>
      </c>
      <c r="B4" t="s">
        <v>9</v>
      </c>
      <c r="C4" t="s">
        <v>14</v>
      </c>
      <c r="D4" t="s">
        <v>18</v>
      </c>
      <c r="E4">
        <v>10</v>
      </c>
      <c r="F4" s="8">
        <v>25000</v>
      </c>
      <c r="G4" s="8">
        <f t="shared" si="0"/>
        <v>250000</v>
      </c>
      <c r="H4" t="str">
        <f>IF(Table2[[#This Row],[Total Sales]]&gt;=1000000,"High sales","Low sales")</f>
        <v>Low sales</v>
      </c>
    </row>
    <row r="5" spans="1:8" x14ac:dyDescent="0.2">
      <c r="A5" s="4">
        <v>46241</v>
      </c>
      <c r="B5" t="s">
        <v>10</v>
      </c>
      <c r="C5" t="s">
        <v>12</v>
      </c>
      <c r="D5" t="s">
        <v>19</v>
      </c>
      <c r="E5">
        <v>4</v>
      </c>
      <c r="F5" s="8">
        <v>45000</v>
      </c>
      <c r="G5" s="8">
        <f t="shared" si="0"/>
        <v>180000</v>
      </c>
      <c r="H5" t="str">
        <f>IF(Table2[[#This Row],[Total Sales]]&gt;=1000000,"High sales","Low sales")</f>
        <v>Low sales</v>
      </c>
    </row>
    <row r="6" spans="1:8" x14ac:dyDescent="0.2">
      <c r="A6" s="4">
        <v>46272</v>
      </c>
      <c r="B6" t="s">
        <v>11</v>
      </c>
      <c r="C6" t="s">
        <v>15</v>
      </c>
      <c r="D6" t="s">
        <v>20</v>
      </c>
      <c r="E6">
        <v>3</v>
      </c>
      <c r="F6" s="8">
        <v>120000</v>
      </c>
      <c r="G6" s="8">
        <f t="shared" si="0"/>
        <v>360000</v>
      </c>
      <c r="H6" t="str">
        <f>IF(Table2[[#This Row],[Total Sales]]&gt;=1000000,"High sales","Low sales")</f>
        <v>Low sales</v>
      </c>
    </row>
    <row r="7" spans="1:8" x14ac:dyDescent="0.2">
      <c r="A7" s="4">
        <v>46302</v>
      </c>
      <c r="B7" t="s">
        <v>34</v>
      </c>
      <c r="C7" t="s">
        <v>12</v>
      </c>
      <c r="D7" t="s">
        <v>38</v>
      </c>
      <c r="E7">
        <v>20</v>
      </c>
      <c r="F7" s="8">
        <v>30000</v>
      </c>
      <c r="G7" s="8">
        <f t="shared" si="0"/>
        <v>600000</v>
      </c>
      <c r="H7" t="str">
        <f>IF(Table2[[#This Row],[Total Sales]]&gt;=1000000,"High sales","Low sales")</f>
        <v>Low sales</v>
      </c>
    </row>
    <row r="8" spans="1:8" x14ac:dyDescent="0.2">
      <c r="A8" s="4">
        <v>46333</v>
      </c>
      <c r="B8" t="s">
        <v>35</v>
      </c>
      <c r="C8" t="s">
        <v>15</v>
      </c>
      <c r="D8" t="s">
        <v>39</v>
      </c>
      <c r="E8">
        <v>2</v>
      </c>
      <c r="F8" s="8">
        <v>150000</v>
      </c>
      <c r="G8" s="8">
        <f t="shared" si="0"/>
        <v>300000</v>
      </c>
      <c r="H8" t="str">
        <f>IF(Table2[[#This Row],[Total Sales]]&gt;=1000000,"High sales","Low sales")</f>
        <v>Low sales</v>
      </c>
    </row>
    <row r="9" spans="1:8" x14ac:dyDescent="0.2">
      <c r="A9" s="4">
        <v>46363</v>
      </c>
      <c r="B9" t="s">
        <v>7</v>
      </c>
      <c r="C9" t="s">
        <v>36</v>
      </c>
      <c r="D9" t="s">
        <v>40</v>
      </c>
      <c r="E9">
        <v>2</v>
      </c>
      <c r="F9" s="8">
        <v>500000</v>
      </c>
      <c r="G9" s="8">
        <f t="shared" si="0"/>
        <v>1000000</v>
      </c>
      <c r="H9" t="str">
        <f>IF(Table2[[#This Row],[Total Sales]]&gt;=1000000,"High sales","Low sales")</f>
        <v>High sales</v>
      </c>
    </row>
    <row r="10" spans="1:8" x14ac:dyDescent="0.2">
      <c r="A10" s="4" t="s">
        <v>21</v>
      </c>
      <c r="B10" t="s">
        <v>9</v>
      </c>
      <c r="C10" t="s">
        <v>12</v>
      </c>
      <c r="D10" t="s">
        <v>39</v>
      </c>
      <c r="E10">
        <v>12</v>
      </c>
      <c r="F10" s="8">
        <v>30000</v>
      </c>
      <c r="G10" s="8">
        <f t="shared" si="0"/>
        <v>360000</v>
      </c>
      <c r="H10" t="str">
        <f>IF(Table2[[#This Row],[Total Sales]]&gt;=1000000,"High sales","Low sales")</f>
        <v>Low sales</v>
      </c>
    </row>
    <row r="11" spans="1:8" x14ac:dyDescent="0.2">
      <c r="A11" s="4" t="s">
        <v>22</v>
      </c>
      <c r="B11" t="s">
        <v>10</v>
      </c>
      <c r="C11" t="s">
        <v>13</v>
      </c>
      <c r="D11" t="s">
        <v>17</v>
      </c>
      <c r="E11">
        <v>4</v>
      </c>
      <c r="F11" s="8">
        <v>50000</v>
      </c>
      <c r="G11" s="8">
        <f t="shared" si="0"/>
        <v>200000</v>
      </c>
      <c r="H11" t="str">
        <f>IF(Table2[[#This Row],[Total Sales]]&gt;=1000000,"High sales","Low sales")</f>
        <v>Low sales</v>
      </c>
    </row>
    <row r="12" spans="1:8" x14ac:dyDescent="0.2">
      <c r="A12" s="4" t="s">
        <v>23</v>
      </c>
      <c r="B12" t="s">
        <v>34</v>
      </c>
      <c r="C12" t="s">
        <v>14</v>
      </c>
      <c r="D12" t="s">
        <v>16</v>
      </c>
      <c r="E12">
        <v>10</v>
      </c>
      <c r="F12" s="8">
        <v>15000</v>
      </c>
      <c r="G12" s="8">
        <f t="shared" si="0"/>
        <v>150000</v>
      </c>
      <c r="H12" t="str">
        <f>IF(Table2[[#This Row],[Total Sales]]&gt;=1000000,"High sales","Low sales")</f>
        <v>Low sales</v>
      </c>
    </row>
    <row r="13" spans="1:8" x14ac:dyDescent="0.2">
      <c r="A13" s="4" t="s">
        <v>24</v>
      </c>
      <c r="B13" t="s">
        <v>35</v>
      </c>
      <c r="C13" t="s">
        <v>15</v>
      </c>
      <c r="D13" t="s">
        <v>18</v>
      </c>
      <c r="E13">
        <v>5</v>
      </c>
      <c r="F13" s="8">
        <v>75000</v>
      </c>
      <c r="G13" s="8">
        <f t="shared" si="0"/>
        <v>375000</v>
      </c>
      <c r="H13" t="str">
        <f>IF(Table2[[#This Row],[Total Sales]]&gt;=1000000,"High sales","Low sales")</f>
        <v>Low sales</v>
      </c>
    </row>
    <row r="14" spans="1:8" x14ac:dyDescent="0.2">
      <c r="A14" s="4" t="s">
        <v>25</v>
      </c>
      <c r="B14" t="s">
        <v>11</v>
      </c>
      <c r="C14" t="s">
        <v>12</v>
      </c>
      <c r="D14" t="s">
        <v>19</v>
      </c>
      <c r="E14">
        <v>2</v>
      </c>
      <c r="F14" s="8">
        <v>80000</v>
      </c>
      <c r="G14" s="8">
        <f t="shared" si="0"/>
        <v>160000</v>
      </c>
      <c r="H14" t="str">
        <f>IF(Table2[[#This Row],[Total Sales]]&gt;=1000000,"High sales","Low sales")</f>
        <v>Low sales</v>
      </c>
    </row>
    <row r="15" spans="1:8" x14ac:dyDescent="0.2">
      <c r="A15" s="4" t="s">
        <v>26</v>
      </c>
      <c r="B15" t="s">
        <v>7</v>
      </c>
      <c r="C15" t="s">
        <v>36</v>
      </c>
      <c r="D15" t="s">
        <v>39</v>
      </c>
      <c r="E15">
        <v>4</v>
      </c>
      <c r="F15" s="8">
        <v>700000</v>
      </c>
      <c r="G15" s="8">
        <f t="shared" si="0"/>
        <v>2800000</v>
      </c>
      <c r="H15" t="str">
        <f>IF(Table2[[#This Row],[Total Sales]]&gt;=1000000,"High sales","Low sales")</f>
        <v>High sales</v>
      </c>
    </row>
    <row r="16" spans="1:8" x14ac:dyDescent="0.2">
      <c r="A16" s="4" t="s">
        <v>27</v>
      </c>
      <c r="B16" t="s">
        <v>8</v>
      </c>
      <c r="C16" t="s">
        <v>37</v>
      </c>
      <c r="D16" t="s">
        <v>20</v>
      </c>
      <c r="E16">
        <v>5</v>
      </c>
      <c r="F16" s="8">
        <v>200000</v>
      </c>
      <c r="G16" s="8">
        <f t="shared" si="0"/>
        <v>1000000</v>
      </c>
      <c r="H16" t="str">
        <f>IF(Table2[[#This Row],[Total Sales]]&gt;=1000000,"High sales","Low sales")</f>
        <v>High sales</v>
      </c>
    </row>
    <row r="17" spans="1:8" x14ac:dyDescent="0.2">
      <c r="A17" s="4" t="s">
        <v>28</v>
      </c>
      <c r="B17" t="s">
        <v>9</v>
      </c>
      <c r="C17" t="s">
        <v>13</v>
      </c>
      <c r="D17" t="s">
        <v>41</v>
      </c>
      <c r="E17">
        <v>10</v>
      </c>
      <c r="F17" s="8">
        <v>35000</v>
      </c>
      <c r="G17" s="8">
        <f t="shared" si="0"/>
        <v>350000</v>
      </c>
      <c r="H17" t="str">
        <f>IF(Table2[[#This Row],[Total Sales]]&gt;=1000000,"High sales","Low sales")</f>
        <v>Low sales</v>
      </c>
    </row>
    <row r="18" spans="1:8" x14ac:dyDescent="0.2">
      <c r="A18" s="4" t="s">
        <v>29</v>
      </c>
      <c r="B18" t="s">
        <v>8</v>
      </c>
      <c r="C18" t="s">
        <v>37</v>
      </c>
      <c r="D18" t="s">
        <v>42</v>
      </c>
      <c r="E18">
        <v>2</v>
      </c>
      <c r="F18" s="8">
        <v>400000</v>
      </c>
      <c r="G18" s="8">
        <f t="shared" si="0"/>
        <v>800000</v>
      </c>
      <c r="H18" t="str">
        <f>IF(Table2[[#This Row],[Total Sales]]&gt;=1000000,"High sales","Low sales")</f>
        <v>Low sales</v>
      </c>
    </row>
    <row r="19" spans="1:8" x14ac:dyDescent="0.2">
      <c r="A19" s="4" t="s">
        <v>30</v>
      </c>
      <c r="B19" t="s">
        <v>34</v>
      </c>
      <c r="C19" t="s">
        <v>12</v>
      </c>
      <c r="D19" t="s">
        <v>16</v>
      </c>
      <c r="E19">
        <v>5</v>
      </c>
      <c r="F19" s="8">
        <v>10000</v>
      </c>
      <c r="G19" s="8">
        <f t="shared" si="0"/>
        <v>50000</v>
      </c>
      <c r="H19" t="str">
        <f>IF(Table2[[#This Row],[Total Sales]]&gt;=1000000,"High sales","Low sales")</f>
        <v>Low sales</v>
      </c>
    </row>
    <row r="20" spans="1:8" x14ac:dyDescent="0.2">
      <c r="A20" s="4" t="s">
        <v>31</v>
      </c>
      <c r="B20" t="s">
        <v>35</v>
      </c>
      <c r="C20" t="s">
        <v>15</v>
      </c>
      <c r="D20" t="s">
        <v>20</v>
      </c>
      <c r="E20">
        <v>5</v>
      </c>
      <c r="F20" s="8">
        <v>75000</v>
      </c>
      <c r="G20" s="8">
        <f t="shared" si="0"/>
        <v>375000</v>
      </c>
      <c r="H20" t="str">
        <f>IF(Table2[[#This Row],[Total Sales]]&gt;=1000000,"High sales","Low sales")</f>
        <v>Low sales</v>
      </c>
    </row>
    <row r="21" spans="1:8" x14ac:dyDescent="0.2">
      <c r="A21" s="4" t="s">
        <v>32</v>
      </c>
      <c r="B21" t="s">
        <v>8</v>
      </c>
      <c r="C21" t="s">
        <v>36</v>
      </c>
      <c r="D21" t="s">
        <v>40</v>
      </c>
      <c r="E21">
        <v>2</v>
      </c>
      <c r="F21" s="8">
        <v>150000</v>
      </c>
      <c r="G21" s="8">
        <f t="shared" si="0"/>
        <v>300000</v>
      </c>
      <c r="H21" t="str">
        <f>IF(Table2[[#This Row],[Total Sales]]&gt;=1000000,"High sales","Low sales")</f>
        <v>Low sales</v>
      </c>
    </row>
    <row r="22" spans="1:8" x14ac:dyDescent="0.2">
      <c r="A22" s="4" t="s">
        <v>33</v>
      </c>
      <c r="B22" t="s">
        <v>7</v>
      </c>
      <c r="C22" t="s">
        <v>13</v>
      </c>
      <c r="D22" t="s">
        <v>17</v>
      </c>
      <c r="E22">
        <v>1</v>
      </c>
      <c r="F22" s="8">
        <v>150000</v>
      </c>
      <c r="G22" s="8">
        <f t="shared" si="0"/>
        <v>150000</v>
      </c>
      <c r="H22" t="str">
        <f>IF(Table2[[#This Row],[Total Sales]]&gt;=1000000,"High sales","Low sales")</f>
        <v>Low sales</v>
      </c>
    </row>
    <row r="25" spans="1:8" x14ac:dyDescent="0.2">
      <c r="A25" s="13"/>
      <c r="B25" s="1"/>
    </row>
    <row r="26" spans="1:8" x14ac:dyDescent="0.2">
      <c r="A26" s="19" t="s">
        <v>57</v>
      </c>
      <c r="B26" s="20"/>
      <c r="C26" s="21">
        <f>COUNTIF(Table2[Performance],"High sales")</f>
        <v>3</v>
      </c>
    </row>
    <row r="27" spans="1:8" x14ac:dyDescent="0.2">
      <c r="A27" s="15" t="s">
        <v>58</v>
      </c>
      <c r="B27" s="16"/>
      <c r="C27" s="17">
        <f>COUNTIF(Table2[Performance],"Low sales")</f>
        <v>18</v>
      </c>
    </row>
    <row r="28" spans="1:8" x14ac:dyDescent="0.2">
      <c r="A28" s="15" t="s">
        <v>59</v>
      </c>
      <c r="B28" s="16"/>
      <c r="C28" s="18">
        <f>SUMIF(Table2[Performance],"High sales",Table2[Total Sales])</f>
        <v>4800000</v>
      </c>
      <c r="D28" s="14"/>
    </row>
    <row r="29" spans="1:8" x14ac:dyDescent="0.2">
      <c r="A29" s="15" t="s">
        <v>60</v>
      </c>
      <c r="B29" s="16"/>
      <c r="C29" s="18">
        <f>AVERAGEIF(Table2[Performance],"High sales",Table2[Total Sales])</f>
        <v>1600000</v>
      </c>
      <c r="D29" s="14"/>
    </row>
  </sheetData>
  <conditionalFormatting sqref="G2:G22">
    <cfRule type="colorScale" priority="1">
      <colorScale>
        <cfvo type="min"/>
        <cfvo type="percentile" val="50"/>
        <cfvo type="max"/>
        <color rgb="FFF8696B"/>
        <color rgb="FFFFEB84"/>
        <color rgb="FF63BE7B"/>
      </colorScale>
    </cfRule>
    <cfRule type="cellIs" dxfId="219" priority="4" operator="greaterThan">
      <formula>1000000</formula>
    </cfRule>
  </conditionalFormatting>
  <conditionalFormatting sqref="H2:H22">
    <cfRule type="containsText" dxfId="218" priority="5" operator="containsText" text="High Sales">
      <formula>NOT(ISERROR(SEARCH("High Sales",H2)))</formula>
    </cfRule>
    <cfRule type="containsText" dxfId="217" priority="6" operator="containsText" text="Low Sales">
      <formula>NOT(ISERROR(SEARCH("Low Sales",H2)))</formula>
    </cfRule>
    <cfRule type="cellIs" dxfId="216" priority="7" operator="greaterThan">
      <formula>"High Sales"</formula>
    </cfRule>
  </conditionalFormatting>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4061E-5EE1-5947-B43B-ACFE2E2397A2}">
  <dimension ref="A1:M47"/>
  <sheetViews>
    <sheetView workbookViewId="0">
      <selection activeCell="B8" sqref="B8"/>
    </sheetView>
  </sheetViews>
  <sheetFormatPr baseColWidth="10" defaultRowHeight="16" x14ac:dyDescent="0.2"/>
  <cols>
    <col min="1" max="1" width="13.5" bestFit="1" customWidth="1"/>
    <col min="2" max="2" width="14.6640625" bestFit="1" customWidth="1"/>
    <col min="4" max="4" width="11.33203125" bestFit="1" customWidth="1"/>
    <col min="5" max="5" width="14.6640625" bestFit="1" customWidth="1"/>
    <col min="6" max="6" width="15.33203125" customWidth="1"/>
    <col min="7" max="7" width="11.33203125" bestFit="1" customWidth="1"/>
    <col min="8" max="8" width="19.83203125" bestFit="1" customWidth="1"/>
    <col min="9" max="9" width="16.6640625" bestFit="1" customWidth="1"/>
    <col min="10" max="10" width="7.6640625" bestFit="1" customWidth="1"/>
    <col min="11" max="11" width="6.1640625" bestFit="1" customWidth="1"/>
    <col min="12" max="12" width="10.83203125" bestFit="1" customWidth="1"/>
    <col min="13" max="13" width="16.6640625" bestFit="1" customWidth="1"/>
    <col min="15" max="15" width="13.5" bestFit="1" customWidth="1"/>
    <col min="16" max="16" width="16.6640625" bestFit="1" customWidth="1"/>
  </cols>
  <sheetData>
    <row r="1" spans="1:12" x14ac:dyDescent="0.2">
      <c r="A1" s="11" t="s">
        <v>2</v>
      </c>
      <c r="B1" s="1" t="s">
        <v>44</v>
      </c>
      <c r="D1" s="11" t="s">
        <v>45</v>
      </c>
      <c r="E1" s="1" t="s">
        <v>44</v>
      </c>
      <c r="G1" s="11" t="s">
        <v>3</v>
      </c>
      <c r="H1" s="1" t="s">
        <v>44</v>
      </c>
    </row>
    <row r="2" spans="1:12" ht="21" x14ac:dyDescent="0.25">
      <c r="A2" s="10" t="s">
        <v>36</v>
      </c>
      <c r="B2" s="30">
        <v>4100000</v>
      </c>
      <c r="D2" s="10" t="s">
        <v>7</v>
      </c>
      <c r="E2" s="30">
        <v>4650000</v>
      </c>
      <c r="G2" s="10" t="s">
        <v>39</v>
      </c>
      <c r="H2" s="30">
        <v>3460000</v>
      </c>
      <c r="L2" s="12" t="s">
        <v>49</v>
      </c>
    </row>
    <row r="3" spans="1:12" x14ac:dyDescent="0.2">
      <c r="A3" s="10" t="s">
        <v>12</v>
      </c>
      <c r="B3" s="30">
        <v>2050000</v>
      </c>
      <c r="D3" s="10" t="s">
        <v>8</v>
      </c>
      <c r="E3" s="30">
        <v>3000000</v>
      </c>
      <c r="G3" s="10" t="s">
        <v>20</v>
      </c>
      <c r="H3" s="30">
        <v>1735000</v>
      </c>
      <c r="L3" t="s">
        <v>51</v>
      </c>
    </row>
    <row r="4" spans="1:12" x14ac:dyDescent="0.2">
      <c r="A4" s="10" t="s">
        <v>37</v>
      </c>
      <c r="B4" s="30">
        <v>1800000</v>
      </c>
      <c r="D4" s="10" t="s">
        <v>35</v>
      </c>
      <c r="E4" s="30">
        <v>1050000</v>
      </c>
      <c r="G4" s="10" t="s">
        <v>40</v>
      </c>
      <c r="H4" s="30">
        <v>1300000</v>
      </c>
      <c r="L4" t="s">
        <v>50</v>
      </c>
    </row>
    <row r="5" spans="1:12" x14ac:dyDescent="0.2">
      <c r="A5" s="10" t="s">
        <v>13</v>
      </c>
      <c r="B5" s="30">
        <v>1600000</v>
      </c>
      <c r="D5" s="10" t="s">
        <v>9</v>
      </c>
      <c r="E5" s="30">
        <v>960000</v>
      </c>
      <c r="G5" s="10" t="s">
        <v>17</v>
      </c>
      <c r="H5" s="30">
        <v>1250000</v>
      </c>
      <c r="L5" t="s">
        <v>52</v>
      </c>
    </row>
    <row r="6" spans="1:12" x14ac:dyDescent="0.2">
      <c r="A6" s="10" t="s">
        <v>15</v>
      </c>
      <c r="B6" s="30">
        <v>1410000</v>
      </c>
      <c r="D6" s="10" t="s">
        <v>34</v>
      </c>
      <c r="E6" s="30">
        <v>800000</v>
      </c>
      <c r="G6" s="10" t="s">
        <v>16</v>
      </c>
      <c r="H6" s="30">
        <v>900000</v>
      </c>
      <c r="L6" t="s">
        <v>53</v>
      </c>
    </row>
    <row r="7" spans="1:12" x14ac:dyDescent="0.2">
      <c r="A7" s="10" t="s">
        <v>14</v>
      </c>
      <c r="B7" s="30">
        <v>400000</v>
      </c>
      <c r="D7" s="10" t="s">
        <v>11</v>
      </c>
      <c r="E7" s="30">
        <v>520000</v>
      </c>
      <c r="G7" s="10" t="s">
        <v>42</v>
      </c>
      <c r="H7" s="30">
        <v>800000</v>
      </c>
      <c r="L7" t="s">
        <v>54</v>
      </c>
    </row>
    <row r="8" spans="1:12" x14ac:dyDescent="0.2">
      <c r="A8" s="10" t="s">
        <v>43</v>
      </c>
      <c r="B8" s="30">
        <v>11360000</v>
      </c>
      <c r="D8" s="10" t="s">
        <v>10</v>
      </c>
      <c r="E8" s="30">
        <v>380000</v>
      </c>
      <c r="G8" s="10" t="s">
        <v>18</v>
      </c>
      <c r="H8" s="30">
        <v>625000</v>
      </c>
      <c r="L8" t="s">
        <v>55</v>
      </c>
    </row>
    <row r="9" spans="1:12" x14ac:dyDescent="0.2">
      <c r="D9" s="10" t="s">
        <v>43</v>
      </c>
      <c r="E9" s="30">
        <v>11360000</v>
      </c>
      <c r="G9" s="10" t="s">
        <v>38</v>
      </c>
      <c r="H9" s="30">
        <v>600000</v>
      </c>
    </row>
    <row r="10" spans="1:12" x14ac:dyDescent="0.2">
      <c r="A10" s="10"/>
      <c r="G10" s="10" t="s">
        <v>41</v>
      </c>
      <c r="H10" s="30">
        <v>350000</v>
      </c>
    </row>
    <row r="11" spans="1:12" x14ac:dyDescent="0.2">
      <c r="E11" s="10"/>
      <c r="G11" s="10" t="s">
        <v>19</v>
      </c>
      <c r="H11" s="30">
        <v>340000</v>
      </c>
    </row>
    <row r="12" spans="1:12" x14ac:dyDescent="0.2">
      <c r="G12" s="10" t="s">
        <v>43</v>
      </c>
      <c r="H12" s="30">
        <v>11360000</v>
      </c>
    </row>
    <row r="14" spans="1:12" x14ac:dyDescent="0.2">
      <c r="H14" s="10"/>
    </row>
    <row r="15" spans="1:12" x14ac:dyDescent="0.2">
      <c r="A15" s="11" t="s">
        <v>3</v>
      </c>
      <c r="B15" s="1" t="s">
        <v>46</v>
      </c>
      <c r="D15" s="11" t="s">
        <v>2</v>
      </c>
      <c r="E15" s="1" t="s">
        <v>47</v>
      </c>
      <c r="G15" s="11" t="s">
        <v>2</v>
      </c>
      <c r="H15" s="1" t="s">
        <v>48</v>
      </c>
    </row>
    <row r="16" spans="1:12" x14ac:dyDescent="0.2">
      <c r="A16" s="10" t="s">
        <v>38</v>
      </c>
      <c r="B16" s="30">
        <v>20</v>
      </c>
      <c r="D16" s="10" t="s">
        <v>12</v>
      </c>
      <c r="E16" s="30">
        <v>6</v>
      </c>
      <c r="G16" s="10" t="s">
        <v>36</v>
      </c>
      <c r="H16" s="30">
        <v>1366666.6666666667</v>
      </c>
    </row>
    <row r="17" spans="1:8" x14ac:dyDescent="0.2">
      <c r="A17" s="10" t="s">
        <v>39</v>
      </c>
      <c r="B17" s="30">
        <v>18</v>
      </c>
      <c r="D17" s="10" t="s">
        <v>13</v>
      </c>
      <c r="E17" s="30">
        <v>4</v>
      </c>
      <c r="G17" s="10" t="s">
        <v>37</v>
      </c>
      <c r="H17" s="30">
        <v>900000</v>
      </c>
    </row>
    <row r="18" spans="1:8" x14ac:dyDescent="0.2">
      <c r="A18" s="10" t="s">
        <v>16</v>
      </c>
      <c r="B18" s="30">
        <v>17</v>
      </c>
      <c r="D18" s="10" t="s">
        <v>15</v>
      </c>
      <c r="E18" s="30">
        <v>4</v>
      </c>
      <c r="G18" s="10" t="s">
        <v>13</v>
      </c>
      <c r="H18" s="30">
        <v>400000</v>
      </c>
    </row>
    <row r="19" spans="1:8" x14ac:dyDescent="0.2">
      <c r="A19" s="10" t="s">
        <v>18</v>
      </c>
      <c r="B19" s="30">
        <v>15</v>
      </c>
      <c r="D19" s="10" t="s">
        <v>36</v>
      </c>
      <c r="E19" s="30">
        <v>3</v>
      </c>
      <c r="G19" s="10" t="s">
        <v>15</v>
      </c>
      <c r="H19" s="30">
        <v>352500</v>
      </c>
    </row>
    <row r="20" spans="1:8" x14ac:dyDescent="0.2">
      <c r="A20" s="10" t="s">
        <v>20</v>
      </c>
      <c r="B20" s="30">
        <v>13</v>
      </c>
      <c r="D20" s="10" t="s">
        <v>37</v>
      </c>
      <c r="E20" s="30">
        <v>2</v>
      </c>
      <c r="G20" s="10" t="s">
        <v>12</v>
      </c>
      <c r="H20" s="30">
        <v>341666.66666666669</v>
      </c>
    </row>
    <row r="21" spans="1:8" x14ac:dyDescent="0.2">
      <c r="A21" s="10" t="s">
        <v>41</v>
      </c>
      <c r="B21" s="30">
        <v>10</v>
      </c>
      <c r="D21" s="10" t="s">
        <v>14</v>
      </c>
      <c r="E21" s="30">
        <v>2</v>
      </c>
      <c r="G21" s="10" t="s">
        <v>14</v>
      </c>
      <c r="H21" s="30">
        <v>200000</v>
      </c>
    </row>
    <row r="22" spans="1:8" x14ac:dyDescent="0.2">
      <c r="A22" s="10" t="s">
        <v>17</v>
      </c>
      <c r="B22" s="30">
        <v>10</v>
      </c>
      <c r="D22" s="10" t="s">
        <v>43</v>
      </c>
      <c r="E22" s="30">
        <v>21</v>
      </c>
      <c r="G22" s="10" t="s">
        <v>43</v>
      </c>
      <c r="H22" s="30">
        <v>540952.38095238095</v>
      </c>
    </row>
    <row r="23" spans="1:8" x14ac:dyDescent="0.2">
      <c r="A23" s="10" t="s">
        <v>19</v>
      </c>
      <c r="B23" s="30">
        <v>6</v>
      </c>
    </row>
    <row r="24" spans="1:8" x14ac:dyDescent="0.2">
      <c r="A24" s="10" t="s">
        <v>40</v>
      </c>
      <c r="B24" s="30">
        <v>4</v>
      </c>
    </row>
    <row r="25" spans="1:8" x14ac:dyDescent="0.2">
      <c r="A25" s="10" t="s">
        <v>42</v>
      </c>
      <c r="B25" s="30">
        <v>2</v>
      </c>
    </row>
    <row r="26" spans="1:8" x14ac:dyDescent="0.2">
      <c r="A26" s="10" t="s">
        <v>43</v>
      </c>
      <c r="B26" s="30">
        <v>115</v>
      </c>
    </row>
    <row r="34" spans="13:13" x14ac:dyDescent="0.2">
      <c r="M34" s="8"/>
    </row>
    <row r="35" spans="13:13" x14ac:dyDescent="0.2">
      <c r="M35" s="8"/>
    </row>
    <row r="36" spans="13:13" x14ac:dyDescent="0.2">
      <c r="M36" s="8"/>
    </row>
    <row r="37" spans="13:13" x14ac:dyDescent="0.2">
      <c r="M37" s="8"/>
    </row>
    <row r="38" spans="13:13" x14ac:dyDescent="0.2">
      <c r="M38" s="8"/>
    </row>
    <row r="39" spans="13:13" x14ac:dyDescent="0.2">
      <c r="M39" s="8"/>
    </row>
    <row r="40" spans="13:13" x14ac:dyDescent="0.2">
      <c r="M40" s="8"/>
    </row>
    <row r="41" spans="13:13" x14ac:dyDescent="0.2">
      <c r="M41" s="8"/>
    </row>
    <row r="42" spans="13:13" x14ac:dyDescent="0.2">
      <c r="M42" s="8"/>
    </row>
    <row r="43" spans="13:13" x14ac:dyDescent="0.2">
      <c r="M43" s="8"/>
    </row>
    <row r="44" spans="13:13" x14ac:dyDescent="0.2">
      <c r="M44" s="8"/>
    </row>
    <row r="45" spans="13:13" x14ac:dyDescent="0.2">
      <c r="M45" s="8"/>
    </row>
    <row r="46" spans="13:13" x14ac:dyDescent="0.2">
      <c r="M46" s="8"/>
    </row>
    <row r="47" spans="13:13" x14ac:dyDescent="0.2">
      <c r="M47" s="8"/>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231FA-E434-884D-B84F-DC268ECCE395}">
  <dimension ref="A1"/>
  <sheetViews>
    <sheetView zoomScaleNormal="100" workbookViewId="0">
      <selection activeCell="G1" sqref="A1:XFD1048576"/>
    </sheetView>
  </sheetViews>
  <sheetFormatPr baseColWidth="10" defaultRowHeight="16" x14ac:dyDescent="0.2"/>
  <cols>
    <col min="1" max="16384" width="10.83203125" style="22"/>
  </cols>
  <sheetData/>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ADD7F-D671-324E-8B89-AC68B75E06BD}">
  <dimension ref="A1:N9"/>
  <sheetViews>
    <sheetView tabSelected="1" workbookViewId="0">
      <selection activeCell="G4" sqref="G4"/>
    </sheetView>
  </sheetViews>
  <sheetFormatPr baseColWidth="10" defaultRowHeight="16" x14ac:dyDescent="0.2"/>
  <cols>
    <col min="1" max="1" width="19" style="25" customWidth="1"/>
    <col min="2" max="2" width="22.5" style="25" customWidth="1"/>
    <col min="3" max="3" width="10.83203125" style="25" customWidth="1"/>
    <col min="4" max="12" width="10.83203125" style="25"/>
    <col min="13" max="13" width="16.5" style="25" customWidth="1"/>
    <col min="14" max="16384" width="10.83203125" style="25"/>
  </cols>
  <sheetData>
    <row r="1" spans="1:14" ht="32" x14ac:dyDescent="0.3">
      <c r="F1" s="26"/>
      <c r="G1" s="26"/>
      <c r="H1" s="24"/>
      <c r="J1" s="26"/>
      <c r="K1" s="26"/>
    </row>
    <row r="3" spans="1:14" ht="19" x14ac:dyDescent="0.25">
      <c r="A3" s="32" t="s">
        <v>6</v>
      </c>
      <c r="B3" s="34">
        <f>GETPIVOTDATA("Total Sales",'Pivot table'!$A$1)</f>
        <v>11360000</v>
      </c>
      <c r="C3" s="27"/>
      <c r="N3" s="37" t="s">
        <v>65</v>
      </c>
    </row>
    <row r="4" spans="1:14" ht="19" x14ac:dyDescent="0.25">
      <c r="A4" s="33" t="s">
        <v>61</v>
      </c>
      <c r="B4" s="35" t="str">
        <f>'Pivot table'!D2</f>
        <v>Laptop</v>
      </c>
      <c r="C4" s="27"/>
      <c r="N4" s="25" t="s">
        <v>66</v>
      </c>
    </row>
    <row r="5" spans="1:14" ht="19" x14ac:dyDescent="0.25">
      <c r="A5" s="33" t="s">
        <v>62</v>
      </c>
      <c r="B5" s="36" t="str">
        <f>'Pivot table'!A2</f>
        <v>Portharcourt</v>
      </c>
      <c r="C5" s="27"/>
      <c r="N5" s="25" t="s">
        <v>67</v>
      </c>
    </row>
    <row r="6" spans="1:14" ht="19" x14ac:dyDescent="0.25">
      <c r="A6" s="33" t="s">
        <v>63</v>
      </c>
      <c r="B6" s="36" t="str">
        <f>'Pivot table'!G2</f>
        <v>Michael</v>
      </c>
      <c r="C6" s="27"/>
      <c r="N6" s="25" t="s">
        <v>68</v>
      </c>
    </row>
    <row r="7" spans="1:14" ht="19" x14ac:dyDescent="0.25">
      <c r="A7" s="33" t="s">
        <v>64</v>
      </c>
      <c r="B7" s="31">
        <f>GETPIVOTDATA("Total Sales",'Pivot table'!$G$15)</f>
        <v>540952.38095238095</v>
      </c>
      <c r="C7" s="27"/>
      <c r="N7" s="25" t="s">
        <v>69</v>
      </c>
    </row>
    <row r="8" spans="1:14" ht="21" x14ac:dyDescent="0.25">
      <c r="A8" s="29"/>
      <c r="B8" s="28"/>
      <c r="C8" s="27"/>
      <c r="E8" s="23"/>
      <c r="N8" s="25" t="s">
        <v>70</v>
      </c>
    </row>
    <row r="9" spans="1:14" x14ac:dyDescent="0.2">
      <c r="B9" s="27"/>
      <c r="C9" s="2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Sales Analysis</vt:lpstr>
      <vt:lpstr>Pivot table</vt:lpstr>
      <vt:lpstr>Sales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2026-07-27T20:04:14Z</dcterms:created>
  <dcterms:modified xsi:type="dcterms:W3CDTF">2026-08-17T23:19:02Z</dcterms:modified>
</cp:coreProperties>
</file>